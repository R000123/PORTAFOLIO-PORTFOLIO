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<sst xmlns="http://schemas.openxmlformats.org/spreadsheetml/2006/main" count="31" uniqueCount="26">
  <si>
    <t>DATOS:</t>
  </si>
  <si>
    <t>MEDIDAS</t>
  </si>
  <si>
    <t>Unidades</t>
  </si>
  <si>
    <t>CMB</t>
  </si>
  <si>
    <t>35</t>
  </si>
  <si>
    <t>cm</t>
  </si>
  <si>
    <t>CMB: Circunferencia media del brazo</t>
  </si>
  <si>
    <t>CA</t>
  </si>
  <si>
    <t>80</t>
  </si>
  <si>
    <t>CA: Circunferencia del abdomen</t>
  </si>
  <si>
    <t>CP</t>
  </si>
  <si>
    <t>CP: Circunferencia de la pantorrilla</t>
  </si>
  <si>
    <t xml:space="preserve">Género: </t>
  </si>
  <si>
    <t>HOMBRE</t>
  </si>
  <si>
    <t>INDICADOR</t>
  </si>
  <si>
    <t>VARÓN:</t>
  </si>
  <si>
    <t>indicador (varía si es varon o mujer)</t>
  </si>
  <si>
    <t xml:space="preserve">MUJER: </t>
  </si>
  <si>
    <t>EDAD (AÑOS)</t>
  </si>
  <si>
    <t>MB</t>
  </si>
  <si>
    <t>MB: Medida de la brazada</t>
  </si>
  <si>
    <t>VARIABLES RECOMENDADAS</t>
  </si>
  <si>
    <t>PESO RECOMENDADO:</t>
  </si>
  <si>
    <t>kg</t>
  </si>
  <si>
    <t>ALTURA/TALLA RECOMENDADA</t>
  </si>
  <si>
    <t>OBS: Para determinar los pesos y alturas ideales usó la ecuación de Rabito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</si>
</sst>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kg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Mono&quot;"/>
    </font>
  </fonts>
  <fills count="12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0F4F9"/>
        <bgColor rgb="FFF0F4F9"/>
      </patternFill>
    </fill>
    <fill>
      <patternFill patternType="solid">
        <fgColor rgb="FF76A5AF"/>
        <bgColor rgb="FF76A5AF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3C78D8"/>
        <bgColor rgb="FF3C78D8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horizontal="left" readingOrder="0"/>
    </xf>
    <xf borderId="1" fillId="2" fontId="1" numFmtId="49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left" readingOrder="0"/>
    </xf>
    <xf borderId="0" fillId="3" fontId="1" numFmtId="0" xfId="0" applyAlignment="1" applyFill="1" applyFont="1">
      <alignment readingOrder="0"/>
    </xf>
    <xf borderId="0" fillId="4" fontId="2" numFmtId="0" xfId="0" applyFill="1" applyFont="1"/>
    <xf borderId="1" fillId="3" fontId="1" numFmtId="0" xfId="0" applyAlignment="1" applyBorder="1" applyFont="1">
      <alignment horizontal="left" readingOrder="0"/>
    </xf>
    <xf borderId="1" fillId="3" fontId="1" numFmtId="49" xfId="0" applyAlignment="1" applyBorder="1" applyFont="1" applyNumberFormat="1">
      <alignment horizontal="left" readingOrder="0"/>
    </xf>
    <xf borderId="1" fillId="5" fontId="1" numFmtId="0" xfId="0" applyAlignment="1" applyBorder="1" applyFill="1" applyFont="1">
      <alignment horizontal="left" readingOrder="0"/>
    </xf>
    <xf borderId="1" fillId="5" fontId="1" numFmtId="49" xfId="0" applyAlignment="1" applyBorder="1" applyFont="1" applyNumberFormat="1">
      <alignment horizontal="left" readingOrder="0"/>
    </xf>
    <xf borderId="0" fillId="5" fontId="1" numFmtId="0" xfId="0" applyAlignment="1" applyFont="1">
      <alignment readingOrder="0"/>
    </xf>
    <xf borderId="1" fillId="6" fontId="1" numFmtId="0" xfId="0" applyAlignment="1" applyBorder="1" applyFill="1" applyFont="1">
      <alignment horizontal="left" readingOrder="0"/>
    </xf>
    <xf borderId="0" fillId="0" fontId="1" numFmtId="0" xfId="0" applyAlignment="1" applyFont="1">
      <alignment horizontal="left" readingOrder="0" shrinkToFit="0" vertical="center" wrapText="1"/>
    </xf>
    <xf borderId="0" fillId="7" fontId="1" numFmtId="0" xfId="0" applyAlignment="1" applyFill="1" applyFont="1">
      <alignment horizontal="center" readingOrder="0" vertical="center"/>
    </xf>
    <xf borderId="1" fillId="7" fontId="1" numFmtId="0" xfId="0" applyAlignment="1" applyBorder="1" applyFont="1">
      <alignment horizontal="left" readingOrder="0"/>
    </xf>
    <xf borderId="0" fillId="7" fontId="1" numFmtId="0" xfId="0" applyAlignment="1" applyFont="1">
      <alignment readingOrder="0" vertical="center"/>
    </xf>
    <xf borderId="1" fillId="8" fontId="1" numFmtId="0" xfId="0" applyAlignment="1" applyBorder="1" applyFill="1" applyFont="1">
      <alignment horizontal="left" readingOrder="0"/>
    </xf>
    <xf borderId="0" fillId="0" fontId="1" numFmtId="0" xfId="0" applyAlignment="1" applyFont="1">
      <alignment horizontal="left"/>
    </xf>
    <xf borderId="1" fillId="9" fontId="1" numFmtId="0" xfId="0" applyAlignment="1" applyBorder="1" applyFill="1" applyFont="1">
      <alignment horizontal="left" readingOrder="0"/>
    </xf>
    <xf borderId="0" fillId="9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8" fontId="1" numFmtId="0" xfId="0" applyAlignment="1" applyFont="1">
      <alignment horizontal="left" readingOrder="0" shrinkToFit="0" wrapText="1"/>
    </xf>
    <xf borderId="0" fillId="8" fontId="1" numFmtId="164" xfId="0" applyAlignment="1" applyFont="1" applyNumberFormat="1">
      <alignment horizontal="left"/>
    </xf>
    <xf borderId="0" fillId="10" fontId="1" numFmtId="0" xfId="0" applyAlignment="1" applyFill="1" applyFont="1">
      <alignment horizontal="left" readingOrder="0" shrinkToFit="0" wrapText="1"/>
    </xf>
    <xf borderId="0" fillId="10" fontId="1" numFmtId="49" xfId="0" applyAlignment="1" applyFont="1" applyNumberFormat="1">
      <alignment horizontal="left"/>
    </xf>
    <xf borderId="0" fillId="11" fontId="1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13.75"/>
    <col customWidth="1" min="4" max="4" width="7.75"/>
    <col customWidth="1" min="5" max="5" width="31.13"/>
  </cols>
  <sheetData>
    <row r="2">
      <c r="B2" s="1" t="s">
        <v>0</v>
      </c>
      <c r="C2" s="1" t="s">
        <v>1</v>
      </c>
      <c r="D2" s="1" t="s">
        <v>2</v>
      </c>
    </row>
    <row r="3">
      <c r="B3" s="2" t="s">
        <v>3</v>
      </c>
      <c r="C3" s="3" t="s">
        <v>4</v>
      </c>
      <c r="D3" s="4" t="s">
        <v>5</v>
      </c>
      <c r="E3" s="5" t="s">
        <v>6</v>
      </c>
      <c r="F3" s="6">
        <f>IF(C6="HOMBRE", 1, IF(C6="MUJER", 2, ""))</f>
        <v>1</v>
      </c>
    </row>
    <row r="4">
      <c r="B4" s="7" t="s">
        <v>7</v>
      </c>
      <c r="C4" s="8" t="s">
        <v>8</v>
      </c>
      <c r="D4" s="4" t="s">
        <v>5</v>
      </c>
      <c r="E4" s="5" t="s">
        <v>9</v>
      </c>
    </row>
    <row r="5">
      <c r="B5" s="9" t="s">
        <v>10</v>
      </c>
      <c r="C5" s="10" t="s">
        <v>4</v>
      </c>
      <c r="D5" s="4" t="s">
        <v>5</v>
      </c>
      <c r="E5" s="11" t="s">
        <v>11</v>
      </c>
    </row>
    <row r="6">
      <c r="B6" s="12" t="s">
        <v>12</v>
      </c>
      <c r="C6" s="12" t="s">
        <v>13</v>
      </c>
      <c r="D6" s="13"/>
    </row>
    <row r="7">
      <c r="A7" s="14" t="s">
        <v>14</v>
      </c>
      <c r="B7" s="15" t="s">
        <v>15</v>
      </c>
      <c r="C7" s="15">
        <v>1.0</v>
      </c>
      <c r="E7" s="16" t="s">
        <v>16</v>
      </c>
    </row>
    <row r="8">
      <c r="B8" s="15" t="s">
        <v>17</v>
      </c>
      <c r="C8" s="15">
        <v>2.0</v>
      </c>
    </row>
    <row r="9">
      <c r="B9" s="17" t="s">
        <v>18</v>
      </c>
      <c r="C9" s="17">
        <v>50.0</v>
      </c>
      <c r="D9" s="18"/>
    </row>
    <row r="10">
      <c r="B10" s="19" t="s">
        <v>19</v>
      </c>
      <c r="C10" s="19">
        <v>80.0</v>
      </c>
      <c r="D10" s="4" t="s">
        <v>5</v>
      </c>
      <c r="E10" s="20" t="s">
        <v>20</v>
      </c>
    </row>
    <row r="11">
      <c r="B11" s="18"/>
      <c r="C11" s="18"/>
      <c r="D11" s="18"/>
    </row>
    <row r="12">
      <c r="B12" s="18"/>
      <c r="C12" s="18"/>
      <c r="D12" s="18"/>
    </row>
    <row r="13">
      <c r="B13" s="18"/>
      <c r="C13" s="18"/>
      <c r="D13" s="18"/>
    </row>
    <row r="14">
      <c r="B14" s="18"/>
      <c r="C14" s="18"/>
      <c r="D14" s="18"/>
    </row>
    <row r="15">
      <c r="B15" s="21" t="s">
        <v>21</v>
      </c>
      <c r="C15" s="18"/>
      <c r="D15" s="18"/>
    </row>
    <row r="16" ht="19.5" customHeight="1">
      <c r="B16" s="22" t="s">
        <v>22</v>
      </c>
      <c r="C16" s="23">
        <f>(C3*0.5759+C4*0.5263+1.2452*C5-4.8689*F3-32.9241)</f>
        <v>68.0495</v>
      </c>
      <c r="D16" s="4" t="s">
        <v>23</v>
      </c>
    </row>
    <row r="17" ht="24.0" customHeight="1">
      <c r="B17" s="24" t="s">
        <v>24</v>
      </c>
      <c r="C17" s="25">
        <f>(63.525-3.237*F3-0.06904*C9+1.293*C10)</f>
        <v>160.276</v>
      </c>
      <c r="D17" s="4" t="s">
        <v>5</v>
      </c>
    </row>
    <row r="19" ht="27.75" customHeight="1">
      <c r="B19" s="26" t="s">
        <v>25</v>
      </c>
    </row>
  </sheetData>
  <mergeCells count="3">
    <mergeCell ref="D6:D8"/>
    <mergeCell ref="A7:A8"/>
    <mergeCell ref="E7:E8"/>
  </mergeCells>
  <dataValidations>
    <dataValidation type="list" allowBlank="1" showErrorMessage="1" sqref="C6">
      <formula1>"HOMBRE,MUJER"</formula1>
    </dataValidation>
  </dataValidations>
  <drawing r:id="rId1"/>
</worksheet>
</file>