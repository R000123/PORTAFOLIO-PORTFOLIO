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Buildup" sheetId="2" r:id="rId5"/>
    <sheet state="visible" name="Análisis Financiero" sheetId="3" r:id="rId6"/>
    <sheet state="hidden" name="Hoja2" sheetId="4" r:id="rId7"/>
    <sheet state="visible" name="Supuestos " sheetId="5" r:id="rId8"/>
    <sheet state="visible" name="Capex" sheetId="6" r:id="rId9"/>
    <sheet state="visible" name="Wacc" sheetId="7" r:id="rId10"/>
    <sheet state="visible" name="Comparables" sheetId="8" r:id="rId11"/>
    <sheet state="hidden" name="Valoración" sheetId="9" r:id="rId12"/>
    <sheet state="hidden" name="Hoja3" sheetId="10" r:id="rId13"/>
    <sheet state="visible" name="Gráficos" sheetId="11" r:id="rId14"/>
  </sheets>
  <externalReferences>
    <externalReference r:id="rId15"/>
  </externalReferences>
  <definedNames/>
  <calcPr/>
  <extLst>
    <ext uri="GoogleSheetsCustomDataVersion2">
      <go:sheetsCustomData xmlns:go="http://customooxmlschemas.google.com/" r:id="rId16" roundtripDataChecksum="j+mtEPzdUf6ApIJjs6NgNbD38lYJeG7YGnf8LQZzQ8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4">
      <text>
        <t xml:space="preserve">======
ID#AAABtFQr7rg
User    (2025-10-11 00:54:10)
se resto con el cargo de derecho de uso</t>
      </text>
    </comment>
  </commentList>
  <extLst>
    <ext uri="GoogleSheetsCustomDataVersion2">
      <go:sheetsCustomData xmlns:go="http://customooxmlschemas.google.com/" r:id="rId1" roundtripDataSignature="AMtx7mivQ3p/ufX8UrdkLSBsSGjfsahJdw=="/>
    </ext>
  </extLst>
</comments>
</file>

<file path=xl/sharedStrings.xml><?xml version="1.0" encoding="utf-8"?>
<sst xmlns="http://schemas.openxmlformats.org/spreadsheetml/2006/main" count="1509" uniqueCount="537">
  <si>
    <t xml:space="preserve">  </t>
  </si>
  <si>
    <t>Proyecto: Modelo Financiero y Valoración</t>
  </si>
  <si>
    <t>VOLCAN COMPAÑÍA MINERA S.A.C</t>
  </si>
  <si>
    <t>Equipo de análisis:</t>
  </si>
  <si>
    <t>- Nombre de estudiante 1</t>
  </si>
  <si>
    <t>Asencios Huaman, Roberth William</t>
  </si>
  <si>
    <t>- Nombre de estudiante 2</t>
  </si>
  <si>
    <t>Romani Rojas, Renzo Nicolas</t>
  </si>
  <si>
    <t>- Nombre de estudiante 3</t>
  </si>
  <si>
    <t>Rodriguez Alcalde, Jeremias Martin</t>
  </si>
  <si>
    <t>Leyenda de colores</t>
  </si>
  <si>
    <t>Azul</t>
  </si>
  <si>
    <t>Input externos o datos históricos</t>
  </si>
  <si>
    <t>Negro</t>
  </si>
  <si>
    <t>Fómula o cálculo</t>
  </si>
  <si>
    <t>Verde</t>
  </si>
  <si>
    <t>Fórmula vinculada a otra(s) hoja(s)</t>
  </si>
  <si>
    <t xml:space="preserve"> </t>
  </si>
  <si>
    <t>Check balance</t>
  </si>
  <si>
    <t>Análisis vertical histórico</t>
  </si>
  <si>
    <t>Análisis horizontal histórico</t>
  </si>
  <si>
    <t>Buildup</t>
  </si>
  <si>
    <t>'20 vs '19</t>
  </si>
  <si>
    <t>'21 vs '20</t>
  </si>
  <si>
    <t>'22 vs '21</t>
  </si>
  <si>
    <t>'23 vs '22</t>
  </si>
  <si>
    <t>'24 vs '23</t>
  </si>
  <si>
    <t>CAGR '19-'24</t>
  </si>
  <si>
    <t>CAGR '24-'29</t>
  </si>
  <si>
    <t>Unidad</t>
  </si>
  <si>
    <t>Histórico</t>
  </si>
  <si>
    <t>Proyección</t>
  </si>
  <si>
    <t>%</t>
  </si>
  <si>
    <t>x</t>
  </si>
  <si>
    <t>Estados de resultados</t>
  </si>
  <si>
    <t>Ventas</t>
  </si>
  <si>
    <t>USD mm</t>
  </si>
  <si>
    <t>Costo de ventas</t>
  </si>
  <si>
    <t>Utilidad bruta</t>
  </si>
  <si>
    <t>Mg. bruto</t>
  </si>
  <si>
    <t>Gasto de ventas</t>
  </si>
  <si>
    <t>Gasto de administración</t>
  </si>
  <si>
    <t>Otros ingresos operativos</t>
  </si>
  <si>
    <t>Otros gastos operativos</t>
  </si>
  <si>
    <t>Ingreso por reversión de deterioro de activos de larga duración</t>
  </si>
  <si>
    <t xml:space="preserve"> Pérdida por deterioro de activos de larga duración</t>
  </si>
  <si>
    <t>Utilidad operativa</t>
  </si>
  <si>
    <t>Mg. operativo</t>
  </si>
  <si>
    <t>D&amp;A</t>
  </si>
  <si>
    <t>EBITDA</t>
  </si>
  <si>
    <t>Mg. EBITDA</t>
  </si>
  <si>
    <t>Ingresos financieros</t>
  </si>
  <si>
    <t>Gastos financieros</t>
  </si>
  <si>
    <t>Utilidad antes de impuestos</t>
  </si>
  <si>
    <t>Impuestos</t>
  </si>
  <si>
    <t>Utilidad neta</t>
  </si>
  <si>
    <t>Mg. neto</t>
  </si>
  <si>
    <t>Balance general</t>
  </si>
  <si>
    <t>Activos</t>
  </si>
  <si>
    <t>Activos corrientes</t>
  </si>
  <si>
    <t>Excedentes</t>
  </si>
  <si>
    <t>Efectivo y equivalente de efectivo</t>
  </si>
  <si>
    <t>Op</t>
  </si>
  <si>
    <t>Cuentas por cobrar comerciales, neto</t>
  </si>
  <si>
    <t>Otras cuentas por cobrar, neto</t>
  </si>
  <si>
    <t>Otros activos financieros</t>
  </si>
  <si>
    <t>Inventarios, neto</t>
  </si>
  <si>
    <t>Activos clasificados como mantenidos para la venta</t>
  </si>
  <si>
    <t>Total activos corrientes</t>
  </si>
  <si>
    <t>Activos no corrientes</t>
  </si>
  <si>
    <t>Inv</t>
  </si>
  <si>
    <t>Inversiones  financieras y en asociada</t>
  </si>
  <si>
    <t>Inventarios(neto)</t>
  </si>
  <si>
    <t>Otras cuentas por cobrar a largo plazo, neto</t>
  </si>
  <si>
    <t>Inmuebles, maquinaria y equipo, neto</t>
  </si>
  <si>
    <t>Derecho de uso, neto</t>
  </si>
  <si>
    <t>Concesiones mineras, costos de exploración y desarrollo y otros intangibles,neto</t>
  </si>
  <si>
    <t>Total activos no corrientes</t>
  </si>
  <si>
    <t>Total Activos</t>
  </si>
  <si>
    <t>Pasivos</t>
  </si>
  <si>
    <t>Pasivos corrientes</t>
  </si>
  <si>
    <t>Fin</t>
  </si>
  <si>
    <t>Obligaciones financieras</t>
  </si>
  <si>
    <t>Sobregiros bancarios</t>
  </si>
  <si>
    <t>Cuentas por pagar comerciales</t>
  </si>
  <si>
    <t>Otros pasivos financieros</t>
  </si>
  <si>
    <t>Otras cuentas por pagar</t>
  </si>
  <si>
    <t>Pasivos asociados directamente con activos clasificados como mantenidos para la venta</t>
  </si>
  <si>
    <t>Ingresos diferidos</t>
  </si>
  <si>
    <t>Total pasivos corrientes</t>
  </si>
  <si>
    <t>Pasivos no corrientes</t>
  </si>
  <si>
    <t>Obligaciones financieras a largo plazo</t>
  </si>
  <si>
    <t>Provisiones</t>
  </si>
  <si>
    <t>Pasivo por impuesto a las ganancias diferido</t>
  </si>
  <si>
    <t>Ingresos Diferidos</t>
  </si>
  <si>
    <t>Total pasivos no corrientes</t>
  </si>
  <si>
    <t>Total Pasivos</t>
  </si>
  <si>
    <t>Patrimonio neto</t>
  </si>
  <si>
    <t>Fi</t>
  </si>
  <si>
    <t>Capital social</t>
  </si>
  <si>
    <t>Acciones en tesorería</t>
  </si>
  <si>
    <t>Reserva legal</t>
  </si>
  <si>
    <t>Mayor valor en adquisición de acciones de tesorería</t>
  </si>
  <si>
    <t>Resultado no realizados</t>
  </si>
  <si>
    <t>Resultados acumulados</t>
  </si>
  <si>
    <t>Total Patrimonio neto</t>
  </si>
  <si>
    <t>Total Pasivos y Patrimonio</t>
  </si>
  <si>
    <t>Estado de flujo de efectivo (método indirecto)</t>
  </si>
  <si>
    <t>Utilidad neta ajustada</t>
  </si>
  <si>
    <t>Variación de capital de trabajo</t>
  </si>
  <si>
    <t>Variación de otras cuentas del balance</t>
  </si>
  <si>
    <t>Flujo de efectivo por actividades de operación</t>
  </si>
  <si>
    <t>Inversiones (Capex)</t>
  </si>
  <si>
    <t>Flujo de efectivo por actividades de inversión</t>
  </si>
  <si>
    <t>Aumento (pago) de obligaciones financieras, neto</t>
  </si>
  <si>
    <t>Variación del Patrimonio</t>
  </si>
  <si>
    <t>Flujo de efectivo por actividades de financiamiento</t>
  </si>
  <si>
    <t>Flujo de efectivo del periodo</t>
  </si>
  <si>
    <t>Saldo inicial de efectivo</t>
  </si>
  <si>
    <t>Saldo final de efectivo</t>
  </si>
  <si>
    <t>Excedentes (necesidad de financiamiento) acumulados</t>
  </si>
  <si>
    <t>Excedente (déficit) de efectivo</t>
  </si>
  <si>
    <t>Excedentes (déficit) acumulados de efectivo</t>
  </si>
  <si>
    <t>Excedentes acumulados</t>
  </si>
  <si>
    <t>Necesidad de financiamiento acumulados</t>
  </si>
  <si>
    <t>Check</t>
  </si>
  <si>
    <t>Análisis financiero</t>
  </si>
  <si>
    <t>Indicadores de rentabilidad</t>
  </si>
  <si>
    <t>Margen bruto</t>
  </si>
  <si>
    <t>Margen EBITDA</t>
  </si>
  <si>
    <t>Margen operativo</t>
  </si>
  <si>
    <t>Margen neto</t>
  </si>
  <si>
    <t>Flujo de caja operativo (FCO) / EBITDA</t>
  </si>
  <si>
    <t>Flujo de caja operativo / Ingresos</t>
  </si>
  <si>
    <t>ROA</t>
  </si>
  <si>
    <t>ROE</t>
  </si>
  <si>
    <t>Indicadores de liquidez</t>
  </si>
  <si>
    <t>Razon corriente (activos corrientes / pasivos corrientes)</t>
  </si>
  <si>
    <t>Razon acida</t>
  </si>
  <si>
    <t>Capital de trabajo</t>
  </si>
  <si>
    <t xml:space="preserve"> USD mm</t>
  </si>
  <si>
    <t>us</t>
  </si>
  <si>
    <t>Días de rotación de cuentas por cobrar</t>
  </si>
  <si>
    <t>días</t>
  </si>
  <si>
    <t>Días de rotación de inventarios</t>
  </si>
  <si>
    <t>Días de rotación de cuentas por pagar</t>
  </si>
  <si>
    <t>Ciclo de conversión de efectivo</t>
  </si>
  <si>
    <t>Flujo de caja operativo (FCO)</t>
  </si>
  <si>
    <t>Solvencia</t>
  </si>
  <si>
    <t>Estructura de capital y endeudamiento:</t>
  </si>
  <si>
    <t>Pasivos / Patrimonio</t>
  </si>
  <si>
    <t>Pasivos / Activos</t>
  </si>
  <si>
    <t>Deuda / EBITDA</t>
  </si>
  <si>
    <t>Cobertura</t>
  </si>
  <si>
    <t>EBITDA / Gastos financiero</t>
  </si>
  <si>
    <t>EBITDA / Servicio de deuda</t>
  </si>
  <si>
    <t>000 dolares</t>
  </si>
  <si>
    <t>COSTO DE VENTAS</t>
  </si>
  <si>
    <t>dep</t>
  </si>
  <si>
    <t>dep uso</t>
  </si>
  <si>
    <t>amo</t>
  </si>
  <si>
    <t>dep planta paraliza</t>
  </si>
  <si>
    <t>amor plant parali</t>
  </si>
  <si>
    <t>GASTOS ADM</t>
  </si>
  <si>
    <t>amor</t>
  </si>
  <si>
    <t>GASTOS DE VENTAS</t>
  </si>
  <si>
    <t>OTROS GASTOS</t>
  </si>
  <si>
    <t>Minera Volcan</t>
  </si>
  <si>
    <t>Históricos</t>
  </si>
  <si>
    <t>Proyecciones</t>
  </si>
  <si>
    <t>Supuestos y drivers</t>
  </si>
  <si>
    <t>Año</t>
  </si>
  <si>
    <t>Mes</t>
  </si>
  <si>
    <t>Indicadores macroecónomicos</t>
  </si>
  <si>
    <t>Inflación promedia (AoP) - BCRP</t>
  </si>
  <si>
    <t>Variación del PBI minería Perú</t>
  </si>
  <si>
    <t>-</t>
  </si>
  <si>
    <t>Estados de Resultados</t>
  </si>
  <si>
    <t>A) Ventas</t>
  </si>
  <si>
    <t>Miles</t>
  </si>
  <si>
    <t>Variación anual</t>
  </si>
  <si>
    <t>Zinc</t>
  </si>
  <si>
    <t>Ventas por zinc</t>
  </si>
  <si>
    <t>Variación anual(%)</t>
  </si>
  <si>
    <t>Precio</t>
  </si>
  <si>
    <t>US$/TM</t>
  </si>
  <si>
    <t>Volumen de venta</t>
  </si>
  <si>
    <t>Miles TMF</t>
  </si>
  <si>
    <t>Reservas total de cobre</t>
  </si>
  <si>
    <t>% de uso</t>
  </si>
  <si>
    <t>Cantidad vendida por reservas existentes</t>
  </si>
  <si>
    <t>Producción por nuevas reservas</t>
  </si>
  <si>
    <t>Plomo</t>
  </si>
  <si>
    <t>Ventas por Plomo</t>
  </si>
  <si>
    <t>Variación anual (%)</t>
  </si>
  <si>
    <t>Reservas total de plomo</t>
  </si>
  <si>
    <t>Cobre</t>
  </si>
  <si>
    <t>Ventas por Cobre</t>
  </si>
  <si>
    <t>Plata</t>
  </si>
  <si>
    <t>Ventas por Plata</t>
  </si>
  <si>
    <t>US$/OZ</t>
  </si>
  <si>
    <t>Millones OZ</t>
  </si>
  <si>
    <t>Reservas total de plata</t>
  </si>
  <si>
    <t>Mil OZ</t>
  </si>
  <si>
    <t>B) Costos de ventas</t>
  </si>
  <si>
    <t>Costos sin D&amp;A</t>
  </si>
  <si>
    <t>% de ventas</t>
  </si>
  <si>
    <t>Depreciación</t>
  </si>
  <si>
    <t>Depreciación por derecho de uso</t>
  </si>
  <si>
    <t>Amortización</t>
  </si>
  <si>
    <t>Total costos de venta</t>
  </si>
  <si>
    <t>C) Gastos operativos</t>
  </si>
  <si>
    <t>1. Gastos de ventas</t>
  </si>
  <si>
    <t>Gastos de ventas sin D&amp;A</t>
  </si>
  <si>
    <t>Depreciación - activos por derecho de uso</t>
  </si>
  <si>
    <t>Total gastos de ventas</t>
  </si>
  <si>
    <t>2. Gastos administrativos</t>
  </si>
  <si>
    <t>Gastos de administración sin D&amp;A</t>
  </si>
  <si>
    <t>Total gastos de administración</t>
  </si>
  <si>
    <t>D) Otros ingresos y gastos operativos</t>
  </si>
  <si>
    <t>1. Otros ingresos operativos</t>
  </si>
  <si>
    <t>2. Otros gastos operativos</t>
  </si>
  <si>
    <t>Otros gastos operativos sin D&amp;A</t>
  </si>
  <si>
    <t>Var. Anual</t>
  </si>
  <si>
    <t>Total otros gastos operativos</t>
  </si>
  <si>
    <t>E) D&amp;A</t>
  </si>
  <si>
    <t>Total D&amp;A</t>
  </si>
  <si>
    <t>1. Depreciación, por costo/gasto</t>
  </si>
  <si>
    <t>Gastos de ventas</t>
  </si>
  <si>
    <t>Gastos administrativos</t>
  </si>
  <si>
    <t>Total depreciación</t>
  </si>
  <si>
    <t>Desglose de la depreciación en %</t>
  </si>
  <si>
    <t>Costos de ventas</t>
  </si>
  <si>
    <t>2. Depreciación - activos por derecho de uso</t>
  </si>
  <si>
    <t xml:space="preserve">Gastos de ventas </t>
  </si>
  <si>
    <t>Total dep. de activos por derecho de uso</t>
  </si>
  <si>
    <t>Breakdown de deprpeciación en %</t>
  </si>
  <si>
    <t>3. Amortización, por costo/gasto</t>
  </si>
  <si>
    <t>Total amortización</t>
  </si>
  <si>
    <t>Breakdown de amortización en %</t>
  </si>
  <si>
    <t>F) Ingresos y gastos financieros</t>
  </si>
  <si>
    <t>1. Ingresos financieros</t>
  </si>
  <si>
    <t>% del efectivo promedio (t; t-1)</t>
  </si>
  <si>
    <t>2.Gastos financieros</t>
  </si>
  <si>
    <t>% de deuda financiera (t; t-1)</t>
  </si>
  <si>
    <t>Deuda total financiera</t>
  </si>
  <si>
    <t>G) Impuestos a la renta</t>
  </si>
  <si>
    <t>1. Impuestos</t>
  </si>
  <si>
    <t>impuestos</t>
  </si>
  <si>
    <t>Tasa efectiva de impuestos</t>
  </si>
  <si>
    <t>A) Caja mínima</t>
  </si>
  <si>
    <t>Efectivo / ventas</t>
  </si>
  <si>
    <t>B) Capital de trabajo</t>
  </si>
  <si>
    <t>Costo de ventas ( sin D&amp;A)</t>
  </si>
  <si>
    <t>Total activos corrientes operativos</t>
  </si>
  <si>
    <t>Pasivos clasificados como mantenidos para la venta</t>
  </si>
  <si>
    <t>Total pasivos corrientes operativos</t>
  </si>
  <si>
    <t>Capital de trabajo, neto</t>
  </si>
  <si>
    <t>Capital de trabajo / ventas</t>
  </si>
  <si>
    <t>Aumento (disminución) en capital de trabajo</t>
  </si>
  <si>
    <t xml:space="preserve">Supuestos </t>
  </si>
  <si>
    <t>Días - Cuentas por cobrar comerciales, neto</t>
  </si>
  <si>
    <t>Días</t>
  </si>
  <si>
    <t>Otras cuentas por cobrar, neto (% de ventas)</t>
  </si>
  <si>
    <t>Otros activos financieros (% de ventas)</t>
  </si>
  <si>
    <t>Días - Inventarios, neto</t>
  </si>
  <si>
    <t>Activos clasificados como mantenidos para la venta (% de ventas)</t>
  </si>
  <si>
    <t>Sobregiros bancarios (% de ventas)</t>
  </si>
  <si>
    <t>Días - Cuentas por pagar comerciales</t>
  </si>
  <si>
    <t>Otros pasivos financieros ( % de ventas)</t>
  </si>
  <si>
    <t>Otras cuentas por pagar (% de ventas)</t>
  </si>
  <si>
    <t>Pasivos clasificados como mantenidos para la venta ( % de ventas)</t>
  </si>
  <si>
    <t>C) Activos fijos</t>
  </si>
  <si>
    <t>PPE,neto</t>
  </si>
  <si>
    <t>Derecho de uso,neto</t>
  </si>
  <si>
    <t>Intangibles, neto</t>
  </si>
  <si>
    <t>C) Deuda</t>
  </si>
  <si>
    <t>Deuda</t>
  </si>
  <si>
    <t>Monto</t>
  </si>
  <si>
    <t>Total Tasa</t>
  </si>
  <si>
    <t>Plazo (años)</t>
  </si>
  <si>
    <t>Cuota</t>
  </si>
  <si>
    <t>Saldo inicial</t>
  </si>
  <si>
    <t>Interés</t>
  </si>
  <si>
    <t>Pago total</t>
  </si>
  <si>
    <t>Saldo final</t>
  </si>
  <si>
    <t>Total intereses</t>
  </si>
  <si>
    <t>Deuda a corto plazo</t>
  </si>
  <si>
    <t>Deuda a largo plazo</t>
  </si>
  <si>
    <t>Deuda / Patrimonio</t>
  </si>
  <si>
    <t>C) Patrimonio</t>
  </si>
  <si>
    <t>Utilidad Neta</t>
  </si>
  <si>
    <t>Saldo inicial de Resultados acumulados</t>
  </si>
  <si>
    <t xml:space="preserve"> Utilidad neta</t>
  </si>
  <si>
    <t xml:space="preserve"> Pago de dividendos</t>
  </si>
  <si>
    <t xml:space="preserve"> Repago de deuda</t>
  </si>
  <si>
    <t>Saldo final de Resultados acumulados</t>
  </si>
  <si>
    <t xml:space="preserve">x </t>
  </si>
  <si>
    <t>Volcan Minera</t>
  </si>
  <si>
    <t>Capex</t>
  </si>
  <si>
    <t>Resumen</t>
  </si>
  <si>
    <t>A) Propiedad, planta y equipo (PPE),neto</t>
  </si>
  <si>
    <t>PPE,bruto</t>
  </si>
  <si>
    <t>Depreciación acumulada</t>
  </si>
  <si>
    <t>Deterioro acumulado</t>
  </si>
  <si>
    <t>B) Derecho de uso, neto</t>
  </si>
  <si>
    <t>Derecho de uso, bruto</t>
  </si>
  <si>
    <t>Derecho de uso neto</t>
  </si>
  <si>
    <t>C) Intangible, neto</t>
  </si>
  <si>
    <t>Intangible, bruto</t>
  </si>
  <si>
    <t>Amortización acumulada</t>
  </si>
  <si>
    <t>Intangible neto</t>
  </si>
  <si>
    <t>D) Capex, por activo</t>
  </si>
  <si>
    <t>PPE</t>
  </si>
  <si>
    <t>Derecho de uso</t>
  </si>
  <si>
    <t>Intangibles</t>
  </si>
  <si>
    <t>Total capex</t>
  </si>
  <si>
    <t>Total capex / ventas</t>
  </si>
  <si>
    <t>E) D&amp;aA, por activo</t>
  </si>
  <si>
    <t>Depreciación de PPE</t>
  </si>
  <si>
    <t>Depreciación de Derecho de Uso</t>
  </si>
  <si>
    <t>Amortización de intangibles</t>
  </si>
  <si>
    <t>Total D&amp;A / ventas</t>
  </si>
  <si>
    <t xml:space="preserve">% </t>
  </si>
  <si>
    <t xml:space="preserve"> A) Desglose de PPE por activo</t>
  </si>
  <si>
    <t>PPE bruto (costo)</t>
  </si>
  <si>
    <t>Terreno</t>
  </si>
  <si>
    <t>Edificios y otras construcciones</t>
  </si>
  <si>
    <t>Infraestructura de programa de manejo ambiental</t>
  </si>
  <si>
    <t>Maquinaria y equipo</t>
  </si>
  <si>
    <t>Unidades de transporte</t>
  </si>
  <si>
    <t>Muebles y enseres</t>
  </si>
  <si>
    <t>Equipos diversos</t>
  </si>
  <si>
    <t>Unidades por recibir</t>
  </si>
  <si>
    <t>Obras en curso</t>
  </si>
  <si>
    <t>Total PPE bruto</t>
  </si>
  <si>
    <t>Capex del PPE (inversiones)</t>
  </si>
  <si>
    <t>Total Capex</t>
  </si>
  <si>
    <t>Capex PPE / ventas</t>
  </si>
  <si>
    <t>Depreciación PPE / ventas</t>
  </si>
  <si>
    <t xml:space="preserve"> Depreciación acumulada</t>
  </si>
  <si>
    <t>Total depreciación  acumulada</t>
  </si>
  <si>
    <t>Depreciación del periodo</t>
  </si>
  <si>
    <t>Total depreciación del periodo</t>
  </si>
  <si>
    <t>Desglose del capex, por activo fijo (en %)</t>
  </si>
  <si>
    <t>Proyección de PPE</t>
  </si>
  <si>
    <t>1) Terreno</t>
  </si>
  <si>
    <t>Saldo inicial del activo bruto</t>
  </si>
  <si>
    <t>Ajustes</t>
  </si>
  <si>
    <t>Saldo final del activo bruto</t>
  </si>
  <si>
    <t>Saldo inicial de depreciación acumulada</t>
  </si>
  <si>
    <t>Saldo final de depreciación acumulada</t>
  </si>
  <si>
    <t>Activo, neto</t>
  </si>
  <si>
    <t>Tasa de depreciación implicita</t>
  </si>
  <si>
    <t>Cronograma de depreciación</t>
  </si>
  <si>
    <t>Depreciación de activos existentes</t>
  </si>
  <si>
    <t>Depreciación de nuevos activos (capex)</t>
  </si>
  <si>
    <t>2) Edificios y otras construcciones</t>
  </si>
  <si>
    <t>3) Infraestructura de programa de manejo ambiental</t>
  </si>
  <si>
    <t>4) Maquinaria y equipo</t>
  </si>
  <si>
    <t>5. Unidades de transporte</t>
  </si>
  <si>
    <t>6. Muebles y Enseres</t>
  </si>
  <si>
    <t>7 Equipos Diversos</t>
  </si>
  <si>
    <t>8. Unidades por recibir</t>
  </si>
  <si>
    <t>9. Obras en curso</t>
  </si>
  <si>
    <t>B) Derecho de uso</t>
  </si>
  <si>
    <t>Capex / ventas</t>
  </si>
  <si>
    <t>Tasa de depreciación implícita</t>
  </si>
  <si>
    <t>C) Intangibles</t>
  </si>
  <si>
    <t>Saldo inicial del intangible bruto</t>
  </si>
  <si>
    <t>Saldo final del intangible bruto</t>
  </si>
  <si>
    <t>Saldo inicial  de amortización acumulada</t>
  </si>
  <si>
    <t>Amortización del periodo</t>
  </si>
  <si>
    <t>Saldo final de amortización acumulada</t>
  </si>
  <si>
    <t>FIN</t>
  </si>
  <si>
    <t>VOLCAN COMPAÑÍA MINERA</t>
  </si>
  <si>
    <t>Análisis WACC</t>
  </si>
  <si>
    <t>(US$ millones)</t>
  </si>
  <si>
    <t>Cálculo de la WACC</t>
  </si>
  <si>
    <t>Empresas comparables beta desapalancado</t>
  </si>
  <si>
    <t>Estructura de capital del Target</t>
  </si>
  <si>
    <t xml:space="preserve">Empresas </t>
  </si>
  <si>
    <t>Ticket</t>
  </si>
  <si>
    <t>País</t>
  </si>
  <si>
    <t>Beta apalancado</t>
  </si>
  <si>
    <t>Total deuda (Millones)</t>
  </si>
  <si>
    <t>Market Equity(Millones)</t>
  </si>
  <si>
    <t>Debt/ Equity</t>
  </si>
  <si>
    <t>Tax Rate</t>
  </si>
  <si>
    <t>Beta desapalancado</t>
  </si>
  <si>
    <t>Coeur Mining Inc DRC</t>
  </si>
  <si>
    <t>CDE</t>
  </si>
  <si>
    <t>Estados Unidos</t>
  </si>
  <si>
    <t>Deuda / (Deuda + Patrimonio)</t>
  </si>
  <si>
    <t>Endeavour Silver Corp</t>
  </si>
  <si>
    <t>EDR</t>
  </si>
  <si>
    <t>Canadá</t>
  </si>
  <si>
    <t>Patrimonio / (Deuda + Patrimonio)</t>
  </si>
  <si>
    <t>Eldorado Gold Corp</t>
  </si>
  <si>
    <t>ELD</t>
  </si>
  <si>
    <t>Fortuna Mining CorpFortuna Mining Corp</t>
  </si>
  <si>
    <t>FVI</t>
  </si>
  <si>
    <t>Costo de deuda (Kd)</t>
  </si>
  <si>
    <t>Buenaventura S.A.A</t>
  </si>
  <si>
    <t>BUENAVC1</t>
  </si>
  <si>
    <t>Perú</t>
  </si>
  <si>
    <t>Costo de deuda ( US$ )</t>
  </si>
  <si>
    <t>Industrias Penoles SAB de CV</t>
  </si>
  <si>
    <t>IPOA.F</t>
  </si>
  <si>
    <t>México</t>
  </si>
  <si>
    <t>Tasa de impuestos</t>
  </si>
  <si>
    <t>Costo de deuda después de impuesto ( US$ )</t>
  </si>
  <si>
    <t>Promedio</t>
  </si>
  <si>
    <t>Mediana</t>
  </si>
  <si>
    <t>Costo de equity (Ke)</t>
  </si>
  <si>
    <t>Tasa libe de riesgo (1)</t>
  </si>
  <si>
    <t>Beta desapalancado del sector según Damodaran</t>
  </si>
  <si>
    <t>Rendimiento esperado del mercado (Rm) (2)</t>
  </si>
  <si>
    <t>Rendimiento esperado del bono del tesoro (Rf)</t>
  </si>
  <si>
    <t>Beta apalancado del Target</t>
  </si>
  <si>
    <t>Prima de Riesgo de Mercado (ERP)</t>
  </si>
  <si>
    <t>Promedio de</t>
  </si>
  <si>
    <t>Deuda/</t>
  </si>
  <si>
    <t>Tasa de</t>
  </si>
  <si>
    <t>Beta</t>
  </si>
  <si>
    <t>Beta apalacando</t>
  </si>
  <si>
    <t>beta</t>
  </si>
  <si>
    <t xml:space="preserve">Patrimonio del </t>
  </si>
  <si>
    <t>impuestos del</t>
  </si>
  <si>
    <t>apalancado</t>
  </si>
  <si>
    <t>Riesgo país (Rp) (5)</t>
  </si>
  <si>
    <t>desapalancado</t>
  </si>
  <si>
    <t>Target</t>
  </si>
  <si>
    <t>Costo de equity (Ke) (US$)</t>
  </si>
  <si>
    <t>Beta apalancado, según comparables</t>
  </si>
  <si>
    <t>Riesgo de divisa</t>
  </si>
  <si>
    <t>Beta apalancado, según Damodaran</t>
  </si>
  <si>
    <t>Costo de equity (Ke) ( PEN)</t>
  </si>
  <si>
    <t>Análisis de sensibilidad de la WACC</t>
  </si>
  <si>
    <t>WACC (US$)</t>
  </si>
  <si>
    <t>Costo de deuda antes de impuestos</t>
  </si>
  <si>
    <t>D/(D+E)</t>
  </si>
  <si>
    <t>(1) Rendimiento del bono del Tesoro USA a 20 años, obtenido en Treasury.gov.</t>
  </si>
  <si>
    <t>(2) Fuente: Damodaran</t>
  </si>
  <si>
    <t>(3) Fuente: Damodaran</t>
  </si>
  <si>
    <t>(4) Fuente: Damodaran</t>
  </si>
  <si>
    <t>(5) Resultado del EMBIG Perú al 18/09/2025, obtenido del BCRP</t>
  </si>
  <si>
    <t>Riesgo país (Rp)</t>
  </si>
  <si>
    <t>Bono emitido por Estados Unidos en US$</t>
  </si>
  <si>
    <t>Bono emitido por Perú en US$</t>
  </si>
  <si>
    <t>Tasa riesgo país</t>
  </si>
  <si>
    <t>Riesgo divisa</t>
  </si>
  <si>
    <t>Bono emitido por Perú en PEN</t>
  </si>
  <si>
    <t>Empresas</t>
  </si>
  <si>
    <t>Nombre</t>
  </si>
  <si>
    <t>EV/EBITDA</t>
  </si>
  <si>
    <t>EV/Ventas</t>
  </si>
  <si>
    <t>PER</t>
  </si>
  <si>
    <t>Market Cap (Millones)</t>
  </si>
  <si>
    <t>Empresa 1</t>
  </si>
  <si>
    <t>Compania de Minas Buenaventura SAA</t>
  </si>
  <si>
    <t>3,0</t>
  </si>
  <si>
    <t>Empresa 2</t>
  </si>
  <si>
    <t>5,3</t>
  </si>
  <si>
    <t>Empresa 3</t>
  </si>
  <si>
    <t>9,3</t>
  </si>
  <si>
    <t>Empresa 4</t>
  </si>
  <si>
    <t>3,1</t>
  </si>
  <si>
    <t>Empresa 5</t>
  </si>
  <si>
    <t>Fortuna Mining Corp</t>
  </si>
  <si>
    <t>1,9</t>
  </si>
  <si>
    <t>Empresa 6</t>
  </si>
  <si>
    <t>2,2</t>
  </si>
  <si>
    <t>Fuente: Investing.com</t>
  </si>
  <si>
    <t>Análisis de flujos de caja descontados (DCF)</t>
  </si>
  <si>
    <t>(USD millones)</t>
  </si>
  <si>
    <t>Periodo histórico</t>
  </si>
  <si>
    <t>CAGR</t>
  </si>
  <si>
    <t>Periodo de proyección</t>
  </si>
  <si>
    <t>('20 - '23)</t>
  </si>
  <si>
    <t>('24 - '29)</t>
  </si>
  <si>
    <t xml:space="preserve">   Variación anual %</t>
  </si>
  <si>
    <t>Margen EBITDA %</t>
  </si>
  <si>
    <t>Depreciación y Amortización (D&amp;A)</t>
  </si>
  <si>
    <t>EBIT</t>
  </si>
  <si>
    <t>Margen EBIT %</t>
  </si>
  <si>
    <t>(-) impuestos</t>
  </si>
  <si>
    <t>(+) D&amp;A</t>
  </si>
  <si>
    <t>(+/-) Variación de WK operativo</t>
  </si>
  <si>
    <t>(-) Capex</t>
  </si>
  <si>
    <t>Flujos de caja libe (FCF)</t>
  </si>
  <si>
    <t>WACC</t>
  </si>
  <si>
    <t>Periodo de descuento</t>
  </si>
  <si>
    <t>Factor descuento</t>
  </si>
  <si>
    <t>Valor actual de FCF</t>
  </si>
  <si>
    <t>Enterprise Value (EV)</t>
  </si>
  <si>
    <t>Valor implicito de las acciones y precio</t>
  </si>
  <si>
    <t>Tasa de crecimiento perpetuo implícito</t>
  </si>
  <si>
    <t>Valor actual acumulado de FCF</t>
  </si>
  <si>
    <t>Enterprise Value</t>
  </si>
  <si>
    <t>FCF ( 2029P)</t>
  </si>
  <si>
    <t>(-) Total deuda</t>
  </si>
  <si>
    <t>Valor terminal</t>
  </si>
  <si>
    <t>(+) Efectivo y equivalente de efectivo</t>
  </si>
  <si>
    <t>EBITDA (2029P)</t>
  </si>
  <si>
    <t>Equity value implícito</t>
  </si>
  <si>
    <t>Múltiplo de salida (EV/EBITDA)</t>
  </si>
  <si>
    <t>N° de acciones (millones)</t>
  </si>
  <si>
    <t>Tasa de crecimiento perpetuo implicito</t>
  </si>
  <si>
    <t>Precio objetivo</t>
  </si>
  <si>
    <t>EV/ EBITDA implicito</t>
  </si>
  <si>
    <t>Valor presente de Valor Terminal</t>
  </si>
  <si>
    <t>Precio actual (04/11/2025)</t>
  </si>
  <si>
    <t>% de Enterprise Value</t>
  </si>
  <si>
    <t>Potencial de crecimiento (upside)</t>
  </si>
  <si>
    <t>EBITDA 2024</t>
  </si>
  <si>
    <t>EV/ EBITDA implícito</t>
  </si>
  <si>
    <t>Equity Value</t>
  </si>
  <si>
    <t>Múltiplo de Salida</t>
  </si>
  <si>
    <t>DCF</t>
  </si>
  <si>
    <t>Acotado</t>
  </si>
  <si>
    <t>Rango mínimo</t>
  </si>
  <si>
    <t>Rango máximo</t>
  </si>
  <si>
    <t>Mínimo</t>
  </si>
  <si>
    <t>Máximo</t>
  </si>
  <si>
    <t>Ultimas 52 semanas</t>
  </si>
  <si>
    <t>EV/EBITDA comps</t>
  </si>
  <si>
    <t>P/E comps</t>
  </si>
  <si>
    <t>N acciones(mm)</t>
  </si>
  <si>
    <t>Valor Equity</t>
  </si>
  <si>
    <t>MAX</t>
  </si>
  <si>
    <t>MIN</t>
  </si>
  <si>
    <t>Oro</t>
  </si>
  <si>
    <t>Escorias</t>
  </si>
  <si>
    <t>Ventas antes de ajustes</t>
  </si>
  <si>
    <t>Ventas Netas</t>
  </si>
  <si>
    <t>Variación 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</si>
</sst>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\-"/>
    <numFmt numFmtId="165" formatCode="#,##0;\(#,##0\)"/>
    <numFmt numFmtId="166" formatCode="0.0%"/>
    <numFmt numFmtId="167" formatCode="0.00000000000000%"/>
    <numFmt numFmtId="168" formatCode="#,##0.00;\(#,##0.00\)"/>
    <numFmt numFmtId="169" formatCode="#,##0.000;\(#,##0.000\)"/>
    <numFmt numFmtId="170" formatCode="0.0\x"/>
    <numFmt numFmtId="171" formatCode="0.0x"/>
    <numFmt numFmtId="172" formatCode="0.0"/>
    <numFmt numFmtId="173" formatCode="#,##0.00;(#,##0.00)"/>
    <numFmt numFmtId="174" formatCode="#,##0.0"/>
    <numFmt numFmtId="175" formatCode="#,##0.000"/>
    <numFmt numFmtId="176" formatCode="#,##0.0000"/>
    <numFmt numFmtId="177" formatCode="&quot;$&quot;#,##0"/>
    <numFmt numFmtId="178" formatCode="dd\-mmm"/>
    <numFmt numFmtId="179" formatCode="_-* #,##0_-;\-* #,##0_-;_-* &quot;-&quot;_-;_-@"/>
    <numFmt numFmtId="180" formatCode="0.00\x"/>
    <numFmt numFmtId="181" formatCode="_-* #,##0_-;\-* #,##0_-;_-* &quot;-&quot;??_-;_-@"/>
  </numFmts>
  <fonts count="51">
    <font>
      <sz val="10.0"/>
      <color rgb="FF000000"/>
      <name val="Arial"/>
      <scheme val="minor"/>
    </font>
    <font>
      <sz val="10.0"/>
      <color rgb="FF000000"/>
      <name val="Arial"/>
    </font>
    <font>
      <u/>
      <sz val="11.0"/>
      <color theme="10"/>
      <name val="Arial"/>
    </font>
    <font>
      <sz val="9.0"/>
      <color rgb="FF000000"/>
      <name val="Arial"/>
    </font>
    <font>
      <b/>
      <sz val="16.0"/>
      <color rgb="FF000000"/>
      <name val="Arial"/>
    </font>
    <font>
      <b/>
      <u/>
      <sz val="9.0"/>
      <color rgb="FF000000"/>
      <name val="Arial"/>
    </font>
    <font>
      <sz val="9.0"/>
      <color rgb="FF0600FF"/>
      <name val="Arial"/>
    </font>
    <font>
      <sz val="9.0"/>
      <color rgb="FF00B050"/>
      <name val="Arial"/>
    </font>
    <font>
      <sz val="10.0"/>
      <color theme="1"/>
      <name val="Arial"/>
    </font>
    <font>
      <sz val="10.0"/>
      <color theme="4"/>
      <name val="Arial"/>
    </font>
    <font>
      <b/>
      <sz val="10.0"/>
      <color theme="1"/>
      <name val="Arial"/>
    </font>
    <font>
      <b/>
      <sz val="10.0"/>
      <color rgb="FF000000"/>
      <name val="Arial"/>
    </font>
    <font/>
    <font>
      <b/>
      <sz val="10.0"/>
      <color rgb="FFFFFFFF"/>
      <name val="Arial"/>
    </font>
    <font>
      <sz val="10.0"/>
      <color rgb="FFFFFFFF"/>
      <name val="Arial"/>
    </font>
    <font>
      <sz val="10.0"/>
      <color rgb="FF0000FF"/>
      <name val="Arial"/>
    </font>
    <font>
      <sz val="10.0"/>
      <color rgb="FF00682F"/>
      <name val="Arial"/>
    </font>
    <font>
      <sz val="10.0"/>
      <color rgb="FF0600FF"/>
      <name val="Arial"/>
    </font>
    <font>
      <b/>
      <u/>
      <sz val="10.0"/>
      <color theme="1"/>
      <name val="Arial"/>
    </font>
    <font>
      <strike/>
      <sz val="10.0"/>
      <color theme="1"/>
      <name val="Arial"/>
    </font>
    <font>
      <b/>
      <u/>
      <sz val="10.0"/>
      <color theme="1"/>
      <name val="Arial"/>
    </font>
    <font>
      <b/>
      <sz val="10.0"/>
      <color rgb="FF00682F"/>
      <name val="Arial"/>
    </font>
    <font>
      <b/>
      <sz val="10.0"/>
      <color rgb="FFFF0000"/>
      <name val="Arial"/>
    </font>
    <font>
      <b/>
      <sz val="10.0"/>
      <color theme="0"/>
      <name val="Arial"/>
    </font>
    <font>
      <sz val="9.0"/>
      <color theme="1"/>
      <name val="Arial"/>
    </font>
    <font>
      <u/>
      <sz val="10.0"/>
      <color rgb="FF000000"/>
      <name val="Arial"/>
    </font>
    <font>
      <color theme="1"/>
      <name val="Arial"/>
      <scheme val="minor"/>
    </font>
    <font>
      <u/>
      <sz val="10.0"/>
      <color rgb="FF000000"/>
      <name val="Arial"/>
    </font>
    <font>
      <sz val="10.0"/>
      <color theme="0"/>
      <name val="Arial"/>
    </font>
    <font>
      <sz val="10.0"/>
      <color theme="1"/>
      <name val="Arial Narrow"/>
    </font>
    <font>
      <sz val="10.0"/>
      <color rgb="FF00B050"/>
      <name val="Arial"/>
    </font>
    <font>
      <b/>
      <u/>
      <sz val="10.0"/>
      <color rgb="FF000000"/>
      <name val="Arial"/>
    </font>
    <font>
      <i/>
      <sz val="9.0"/>
      <color theme="1"/>
      <name val="Arial"/>
    </font>
    <font>
      <i/>
      <sz val="9.0"/>
      <color rgb="FF000000"/>
      <name val="Arial"/>
    </font>
    <font>
      <sz val="10.0"/>
      <color rgb="FF083C92"/>
      <name val="Arial"/>
    </font>
    <font>
      <b/>
      <sz val="10.0"/>
      <color rgb="FF00B050"/>
      <name val="Arial"/>
    </font>
    <font>
      <sz val="10.0"/>
      <color rgb="FF0070C0"/>
      <name val="Arial"/>
    </font>
    <font>
      <sz val="10.0"/>
      <color rgb="FF0C5ADB"/>
      <name val="Arial"/>
    </font>
    <font>
      <b/>
      <sz val="11.0"/>
      <color theme="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sz val="9.0"/>
      <color rgb="FFFFFFFF"/>
      <name val="Arial"/>
    </font>
    <font>
      <b/>
      <u/>
      <sz val="10.0"/>
      <color rgb="FF000000"/>
      <name val="Arial"/>
    </font>
    <font>
      <sz val="10.0"/>
      <color rgb="FFFF0000"/>
      <name val="Arial"/>
    </font>
    <font>
      <b/>
      <sz val="9.0"/>
      <color rgb="FF000000"/>
      <name val="Arial"/>
    </font>
    <font>
      <b/>
      <sz val="9.0"/>
      <color theme="1"/>
      <name val="Arial"/>
    </font>
    <font>
      <b/>
      <sz val="14.0"/>
      <color rgb="FF000000"/>
      <name val="Arial"/>
    </font>
    <font>
      <sz val="12.0"/>
      <color rgb="FF000000"/>
      <name val="Arial"/>
    </font>
    <font>
      <b/>
      <sz val="12.0"/>
      <color rgb="FF000000"/>
      <name val="Arial"/>
    </font>
    <font>
      <sz val="8.0"/>
      <color rgb="FF000000"/>
      <name val="Arial"/>
    </font>
    <font>
      <sz val="11.0"/>
      <color theme="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3F3F3F"/>
        <bgColor rgb="FF3F3F3F"/>
      </patternFill>
    </fill>
    <fill>
      <patternFill patternType="solid">
        <fgColor rgb="FF0C0C0C"/>
        <bgColor rgb="FF0C0C0C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EF1CC"/>
        <bgColor rgb="FFFEF1CC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262626"/>
        <bgColor rgb="FF262626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</fills>
  <borders count="66">
    <border/>
    <border>
      <left style="dotted">
        <color theme="1"/>
      </left>
      <top style="dotted">
        <color theme="1"/>
      </top>
    </border>
    <border>
      <top style="dotted">
        <color theme="1"/>
      </top>
    </border>
    <border>
      <right style="dotted">
        <color theme="1"/>
      </right>
      <top style="dotted">
        <color theme="1"/>
      </top>
    </border>
    <border>
      <left style="dotted">
        <color theme="1"/>
      </left>
    </border>
    <border>
      <right style="dotted">
        <color theme="1"/>
      </right>
    </border>
    <border>
      <bottom style="thin">
        <color rgb="FF000000"/>
      </bottom>
    </border>
    <border>
      <bottom style="thin">
        <color theme="0"/>
      </bottom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</border>
    <border>
      <left style="dotted">
        <color theme="1"/>
      </left>
      <bottom style="dotted">
        <color theme="1"/>
      </bottom>
    </border>
    <border>
      <bottom style="dotted">
        <color theme="1"/>
      </bottom>
    </border>
    <border>
      <right style="dotted">
        <color theme="1"/>
      </right>
      <bottom style="dotted">
        <color theme="1"/>
      </bottom>
    </border>
    <border>
      <left style="thin">
        <color theme="1"/>
      </left>
      <top style="thin">
        <color theme="1"/>
      </top>
    </border>
    <border>
      <top style="thin">
        <color theme="1"/>
      </top>
    </border>
    <border>
      <right style="thin">
        <color theme="1"/>
      </right>
      <top style="thin">
        <color theme="1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theme="0"/>
      </bottom>
    </border>
    <border>
      <left/>
      <right/>
      <top style="thin">
        <color rgb="FF000000"/>
      </top>
      <bottom style="thin">
        <color theme="0"/>
      </bottom>
    </border>
    <border>
      <left/>
      <right style="thin">
        <color rgb="FF000000"/>
      </right>
      <top style="thin">
        <color rgb="FF00000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/>
      <right style="thin">
        <color theme="0"/>
      </right>
      <top style="thin">
        <color rgb="FF000000"/>
      </top>
      <bottom style="thin">
        <color theme="0"/>
      </bottom>
    </border>
    <border>
      <left/>
      <right style="thin">
        <color theme="0"/>
      </right>
      <top style="thin">
        <color theme="0"/>
      </top>
      <bottom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right style="thin">
        <color rgb="FF000000"/>
      </right>
      <top style="thin">
        <color theme="0"/>
      </top>
      <bottom style="thin">
        <color theme="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  <border>
      <left/>
      <right/>
      <top style="thin">
        <color theme="1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theme="0"/>
      </bottom>
    </border>
    <border>
      <left/>
      <right style="thin">
        <color theme="0"/>
      </right>
      <top/>
      <bottom style="thin">
        <color theme="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5" fillId="0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6" fillId="0" fontId="4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0" fillId="0" fontId="5" numFmtId="0" xfId="0" applyAlignment="1" applyFont="1">
      <alignment vertical="center"/>
    </xf>
    <xf quotePrefix="1" borderId="0" fillId="0" fontId="3" numFmtId="0" xfId="0" applyAlignment="1" applyFont="1">
      <alignment vertical="center"/>
    </xf>
    <xf borderId="7" fillId="0" fontId="1" numFmtId="0" xfId="0" applyAlignment="1" applyBorder="1" applyFont="1">
      <alignment vertical="center"/>
    </xf>
    <xf borderId="8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8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8" fillId="0" fontId="7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8" numFmtId="164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0" fontId="8" numFmtId="1" xfId="0" applyAlignment="1" applyFont="1" applyNumberFormat="1">
      <alignment vertical="center"/>
    </xf>
    <xf borderId="0" fillId="0" fontId="8" numFmtId="165" xfId="0" applyAlignment="1" applyFont="1" applyNumberFormat="1">
      <alignment vertical="center"/>
    </xf>
    <xf borderId="12" fillId="0" fontId="11" numFmtId="0" xfId="0" applyAlignment="1" applyBorder="1" applyFont="1">
      <alignment horizontal="center" vertical="center"/>
    </xf>
    <xf borderId="13" fillId="0" fontId="12" numFmtId="0" xfId="0" applyBorder="1" applyFont="1"/>
    <xf borderId="14" fillId="0" fontId="12" numFmtId="0" xfId="0" applyBorder="1" applyFont="1"/>
    <xf borderId="15" fillId="2" fontId="11" numFmtId="0" xfId="0" applyAlignment="1" applyBorder="1" applyFill="1" applyFont="1">
      <alignment horizontal="center" vertical="center"/>
    </xf>
    <xf borderId="16" fillId="0" fontId="12" numFmtId="0" xfId="0" applyBorder="1" applyFont="1"/>
    <xf borderId="17" fillId="0" fontId="12" numFmtId="0" xfId="0" applyBorder="1" applyFont="1"/>
    <xf borderId="18" fillId="2" fontId="8" numFmtId="0" xfId="0" applyBorder="1" applyFont="1"/>
    <xf borderId="0" fillId="0" fontId="8" numFmtId="0" xfId="0" applyAlignment="1" applyFont="1">
      <alignment vertical="center"/>
    </xf>
    <xf borderId="18" fillId="3" fontId="13" numFmtId="0" xfId="0" applyAlignment="1" applyBorder="1" applyFill="1" applyFont="1">
      <alignment horizontal="right" vertical="center"/>
    </xf>
    <xf borderId="18" fillId="4" fontId="13" numFmtId="0" xfId="0" applyAlignment="1" applyBorder="1" applyFill="1" applyFont="1">
      <alignment horizontal="right" vertical="center"/>
    </xf>
    <xf borderId="0" fillId="0" fontId="14" numFmtId="0" xfId="0" applyAlignment="1" applyFont="1">
      <alignment vertical="center"/>
    </xf>
    <xf borderId="19" fillId="5" fontId="14" numFmtId="0" xfId="0" applyAlignment="1" applyBorder="1" applyFill="1" applyFont="1">
      <alignment horizontal="center" vertical="center"/>
    </xf>
    <xf borderId="20" fillId="5" fontId="14" numFmtId="0" xfId="0" applyAlignment="1" applyBorder="1" applyFont="1">
      <alignment horizontal="center" vertical="center"/>
    </xf>
    <xf borderId="21" fillId="5" fontId="14" numFmtId="0" xfId="0" applyAlignment="1" applyBorder="1" applyFont="1">
      <alignment horizontal="center" vertical="center"/>
    </xf>
    <xf quotePrefix="1" borderId="22" fillId="5" fontId="14" numFmtId="0" xfId="0" applyAlignment="1" applyBorder="1" applyFont="1">
      <alignment horizontal="center" vertical="center"/>
    </xf>
    <xf quotePrefix="1" borderId="23" fillId="5" fontId="14" numFmtId="0" xfId="0" applyAlignment="1" applyBorder="1" applyFont="1">
      <alignment horizontal="center" vertical="center"/>
    </xf>
    <xf quotePrefix="1" borderId="21" fillId="5" fontId="14" numFmtId="0" xfId="0" applyAlignment="1" applyBorder="1" applyFont="1">
      <alignment horizontal="center" vertical="center"/>
    </xf>
    <xf borderId="18" fillId="2" fontId="14" numFmtId="0" xfId="0" applyAlignment="1" applyBorder="1" applyFont="1">
      <alignment horizontal="right" vertical="center"/>
    </xf>
    <xf borderId="24" fillId="3" fontId="13" numFmtId="0" xfId="0" applyAlignment="1" applyBorder="1" applyFont="1">
      <alignment horizontal="center" vertical="center"/>
    </xf>
    <xf borderId="24" fillId="6" fontId="13" numFmtId="0" xfId="0" applyAlignment="1" applyBorder="1" applyFill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right" vertical="center"/>
    </xf>
    <xf quotePrefix="1" borderId="26" fillId="0" fontId="8" numFmtId="0" xfId="0" applyAlignment="1" applyBorder="1" applyFont="1">
      <alignment horizontal="center" vertical="center"/>
    </xf>
    <xf quotePrefix="1" borderId="27" fillId="0" fontId="8" numFmtId="0" xfId="0" applyAlignment="1" applyBorder="1" applyFont="1">
      <alignment horizontal="center" vertical="center"/>
    </xf>
    <xf quotePrefix="1" borderId="28" fillId="0" fontId="8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18" fillId="5" fontId="13" numFmtId="0" xfId="0" applyAlignment="1" applyBorder="1" applyFont="1">
      <alignment vertical="center"/>
    </xf>
    <xf borderId="18" fillId="5" fontId="13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31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5" numFmtId="165" xfId="0" applyAlignment="1" applyFont="1" applyNumberFormat="1">
      <alignment vertical="center"/>
    </xf>
    <xf borderId="0" fillId="0" fontId="15" numFmtId="165" xfId="0" applyAlignment="1" applyFont="1" applyNumberFormat="1">
      <alignment horizontal="right"/>
    </xf>
    <xf borderId="18" fillId="7" fontId="16" numFmtId="165" xfId="0" applyAlignment="1" applyBorder="1" applyFill="1" applyFont="1" applyNumberFormat="1">
      <alignment vertical="center"/>
    </xf>
    <xf borderId="31" fillId="0" fontId="1" numFmtId="9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32" fillId="0" fontId="1" numFmtId="9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vertical="center"/>
    </xf>
    <xf borderId="33" fillId="8" fontId="10" numFmtId="0" xfId="0" applyAlignment="1" applyBorder="1" applyFill="1" applyFont="1">
      <alignment vertical="center"/>
    </xf>
    <xf borderId="33" fillId="8" fontId="8" numFmtId="0" xfId="0" applyAlignment="1" applyBorder="1" applyFont="1">
      <alignment horizontal="center" vertical="center"/>
    </xf>
    <xf borderId="33" fillId="8" fontId="10" numFmtId="165" xfId="0" applyAlignment="1" applyBorder="1" applyFont="1" applyNumberFormat="1">
      <alignment vertical="center"/>
    </xf>
    <xf borderId="33" fillId="7" fontId="10" numFmtId="165" xfId="0" applyAlignment="1" applyBorder="1" applyFont="1" applyNumberFormat="1">
      <alignment vertical="center"/>
    </xf>
    <xf borderId="0" fillId="0" fontId="8" numFmtId="166" xfId="0" applyAlignment="1" applyFont="1" applyNumberFormat="1">
      <alignment vertical="center"/>
    </xf>
    <xf borderId="18" fillId="7" fontId="8" numFmtId="166" xfId="0" applyAlignment="1" applyBorder="1" applyFont="1" applyNumberFormat="1">
      <alignment vertical="center"/>
    </xf>
    <xf borderId="0" fillId="0" fontId="8" numFmtId="0" xfId="0" applyFont="1"/>
    <xf borderId="18" fillId="7" fontId="8" numFmtId="165" xfId="0" applyAlignment="1" applyBorder="1" applyFont="1" applyNumberFormat="1">
      <alignment vertical="center"/>
    </xf>
    <xf borderId="6" fillId="0" fontId="8" numFmtId="0" xfId="0" applyAlignment="1" applyBorder="1" applyFont="1">
      <alignment horizontal="center" vertical="center"/>
    </xf>
    <xf borderId="34" fillId="7" fontId="8" numFmtId="165" xfId="0" applyAlignment="1" applyBorder="1" applyFont="1" applyNumberFormat="1">
      <alignment vertical="center"/>
    </xf>
    <xf borderId="35" fillId="0" fontId="10" numFmtId="0" xfId="0" applyAlignment="1" applyBorder="1" applyFont="1">
      <alignment vertical="center"/>
    </xf>
    <xf borderId="35" fillId="0" fontId="8" numFmtId="0" xfId="0" applyAlignment="1" applyBorder="1" applyFont="1">
      <alignment horizontal="center" vertical="center"/>
    </xf>
    <xf borderId="35" fillId="0" fontId="10" numFmtId="165" xfId="0" applyAlignment="1" applyBorder="1" applyFont="1" applyNumberFormat="1">
      <alignment vertical="center"/>
    </xf>
    <xf borderId="36" fillId="7" fontId="10" numFmtId="165" xfId="0" applyAlignment="1" applyBorder="1" applyFont="1" applyNumberFormat="1">
      <alignment vertical="center"/>
    </xf>
    <xf borderId="0" fillId="0" fontId="17" numFmtId="1" xfId="0" applyAlignment="1" applyFont="1" applyNumberFormat="1">
      <alignment vertical="center"/>
    </xf>
    <xf borderId="18" fillId="9" fontId="17" numFmtId="1" xfId="0" applyAlignment="1" applyBorder="1" applyFill="1" applyFont="1" applyNumberFormat="1">
      <alignment vertical="center"/>
    </xf>
    <xf borderId="18" fillId="7" fontId="16" numFmtId="1" xfId="0" applyAlignment="1" applyBorder="1" applyFont="1" applyNumberFormat="1">
      <alignment vertical="center"/>
    </xf>
    <xf borderId="33" fillId="8" fontId="10" numFmtId="0" xfId="0" applyAlignment="1" applyBorder="1" applyFont="1">
      <alignment horizontal="center" vertical="center"/>
    </xf>
    <xf borderId="13" fillId="0" fontId="10" numFmtId="0" xfId="0" applyAlignment="1" applyBorder="1" applyFont="1">
      <alignment vertical="center"/>
    </xf>
    <xf borderId="13" fillId="0" fontId="8" numFmtId="0" xfId="0" applyAlignment="1" applyBorder="1" applyFont="1">
      <alignment horizontal="center" vertical="center"/>
    </xf>
    <xf borderId="13" fillId="0" fontId="10" numFmtId="165" xfId="0" applyAlignment="1" applyBorder="1" applyFont="1" applyNumberFormat="1">
      <alignment vertical="center"/>
    </xf>
    <xf borderId="37" fillId="7" fontId="10" numFmtId="165" xfId="0" applyAlignment="1" applyBorder="1" applyFont="1" applyNumberFormat="1">
      <alignment vertical="center"/>
    </xf>
    <xf borderId="0" fillId="0" fontId="18" numFmtId="0" xfId="0" applyAlignment="1" applyFont="1">
      <alignment vertical="center"/>
    </xf>
    <xf borderId="18" fillId="7" fontId="1" numFmtId="165" xfId="0" applyAlignment="1" applyBorder="1" applyFont="1" applyNumberFormat="1">
      <alignment vertical="center"/>
    </xf>
    <xf borderId="0" fillId="0" fontId="19" numFmtId="0" xfId="0" applyAlignment="1" applyFont="1">
      <alignment horizontal="center" vertical="center"/>
    </xf>
    <xf borderId="18" fillId="2" fontId="19" numFmtId="0" xfId="0" applyAlignment="1" applyBorder="1" applyFont="1">
      <alignment horizontal="center" vertical="center"/>
    </xf>
    <xf borderId="18" fillId="2" fontId="8" numFmtId="0" xfId="0" applyAlignment="1" applyBorder="1" applyFont="1">
      <alignment vertical="center"/>
    </xf>
    <xf borderId="18" fillId="2" fontId="15" numFmtId="165" xfId="0" applyAlignment="1" applyBorder="1" applyFont="1" applyNumberFormat="1">
      <alignment vertical="center"/>
    </xf>
    <xf borderId="18" fillId="9" fontId="8" numFmtId="0" xfId="0" applyAlignment="1" applyBorder="1" applyFont="1">
      <alignment vertical="center"/>
    </xf>
    <xf borderId="18" fillId="9" fontId="19" numFmtId="0" xfId="0" applyAlignment="1" applyBorder="1" applyFont="1">
      <alignment horizontal="center" vertical="center"/>
    </xf>
    <xf borderId="31" fillId="0" fontId="1" numFmtId="165" xfId="0" applyAlignment="1" applyBorder="1" applyFont="1" applyNumberFormat="1">
      <alignment horizontal="center" vertical="center"/>
    </xf>
    <xf borderId="18" fillId="7" fontId="15" numFmtId="165" xfId="0" applyAlignment="1" applyBorder="1" applyFont="1" applyNumberFormat="1">
      <alignment vertical="center"/>
    </xf>
    <xf borderId="18" fillId="9" fontId="8" numFmtId="0" xfId="0" applyBorder="1" applyFont="1"/>
    <xf borderId="35" fillId="0" fontId="8" numFmtId="165" xfId="0" applyAlignment="1" applyBorder="1" applyFont="1" applyNumberFormat="1">
      <alignment vertical="center"/>
    </xf>
    <xf borderId="31" fillId="0" fontId="1" numFmtId="167" xfId="0" applyAlignment="1" applyBorder="1" applyFont="1" applyNumberFormat="1">
      <alignment horizontal="center" vertical="center"/>
    </xf>
    <xf borderId="34" fillId="7" fontId="16" numFmtId="165" xfId="0" applyAlignment="1" applyBorder="1" applyFont="1" applyNumberFormat="1">
      <alignment vertical="center"/>
    </xf>
    <xf borderId="18" fillId="7" fontId="10" numFmtId="165" xfId="0" applyAlignment="1" applyBorder="1" applyFont="1" applyNumberFormat="1">
      <alignment vertical="center"/>
    </xf>
    <xf borderId="0" fillId="0" fontId="10" numFmtId="0" xfId="0" applyAlignment="1" applyFont="1">
      <alignment horizontal="center" vertical="center"/>
    </xf>
    <xf borderId="38" fillId="0" fontId="1" numFmtId="9" xfId="0" applyAlignment="1" applyBorder="1" applyFont="1" applyNumberFormat="1">
      <alignment horizontal="center" vertical="center"/>
    </xf>
    <xf borderId="6" fillId="0" fontId="1" numFmtId="9" xfId="0" applyAlignment="1" applyBorder="1" applyFont="1" applyNumberFormat="1">
      <alignment horizontal="center" vertical="center"/>
    </xf>
    <xf borderId="39" fillId="0" fontId="1" numFmtId="9" xfId="0" applyAlignment="1" applyBorder="1" applyFont="1" applyNumberFormat="1">
      <alignment horizontal="center" vertical="center"/>
    </xf>
    <xf borderId="0" fillId="0" fontId="1" numFmtId="168" xfId="0" applyAlignment="1" applyFont="1" applyNumberFormat="1">
      <alignment vertical="center"/>
    </xf>
    <xf borderId="0" fillId="0" fontId="8" numFmtId="165" xfId="0" applyAlignment="1" applyFont="1" applyNumberFormat="1">
      <alignment horizontal="right" vertical="center"/>
    </xf>
    <xf borderId="18" fillId="7" fontId="8" numFmtId="165" xfId="0" applyAlignment="1" applyBorder="1" applyFont="1" applyNumberFormat="1">
      <alignment horizontal="right" vertical="center"/>
    </xf>
    <xf borderId="18" fillId="7" fontId="8" numFmtId="1" xfId="0" applyAlignment="1" applyBorder="1" applyFont="1" applyNumberFormat="1">
      <alignment vertical="center"/>
    </xf>
    <xf borderId="16" fillId="0" fontId="8" numFmtId="0" xfId="0" applyAlignment="1" applyBorder="1" applyFont="1">
      <alignment vertical="center"/>
    </xf>
    <xf borderId="16" fillId="0" fontId="8" numFmtId="0" xfId="0" applyAlignment="1" applyBorder="1" applyFont="1">
      <alignment horizontal="center" vertical="center"/>
    </xf>
    <xf borderId="16" fillId="0" fontId="10" numFmtId="1" xfId="0" applyAlignment="1" applyBorder="1" applyFont="1" applyNumberFormat="1">
      <alignment vertical="center"/>
    </xf>
    <xf borderId="33" fillId="7" fontId="10" numFmtId="1" xfId="0" applyAlignment="1" applyBorder="1" applyFont="1" applyNumberFormat="1">
      <alignment vertical="center"/>
    </xf>
    <xf borderId="40" fillId="0" fontId="20" numFmtId="0" xfId="0" applyAlignment="1" applyBorder="1" applyFont="1">
      <alignment vertical="center"/>
    </xf>
    <xf borderId="40" fillId="0" fontId="8" numFmtId="0" xfId="0" applyAlignment="1" applyBorder="1" applyFont="1">
      <alignment horizontal="center" vertical="center"/>
    </xf>
    <xf borderId="40" fillId="0" fontId="10" numFmtId="165" xfId="0" applyAlignment="1" applyBorder="1" applyFont="1" applyNumberFormat="1">
      <alignment horizontal="right" vertical="center"/>
    </xf>
    <xf borderId="41" fillId="7" fontId="10" numFmtId="165" xfId="0" applyAlignment="1" applyBorder="1" applyFont="1" applyNumberFormat="1">
      <alignment horizontal="right" vertical="center"/>
    </xf>
    <xf borderId="0" fillId="0" fontId="10" numFmtId="165" xfId="0" applyAlignment="1" applyFont="1" applyNumberFormat="1">
      <alignment horizontal="right" vertical="center"/>
    </xf>
    <xf borderId="0" fillId="0" fontId="1" numFmtId="165" xfId="0" applyFont="1" applyNumberFormat="1"/>
    <xf borderId="18" fillId="7" fontId="1" numFmtId="165" xfId="0" applyBorder="1" applyFont="1" applyNumberFormat="1"/>
    <xf borderId="33" fillId="8" fontId="10" numFmtId="165" xfId="0" applyAlignment="1" applyBorder="1" applyFont="1" applyNumberFormat="1">
      <alignment horizontal="right" vertical="center"/>
    </xf>
    <xf borderId="33" fillId="7" fontId="10" numFmtId="165" xfId="0" applyAlignment="1" applyBorder="1" applyFont="1" applyNumberFormat="1">
      <alignment horizontal="right" vertical="center"/>
    </xf>
    <xf borderId="18" fillId="2" fontId="10" numFmtId="0" xfId="0" applyAlignment="1" applyBorder="1" applyFont="1">
      <alignment vertical="center"/>
    </xf>
    <xf borderId="18" fillId="2" fontId="8" numFmtId="0" xfId="0" applyAlignment="1" applyBorder="1" applyFont="1">
      <alignment horizontal="center" vertical="center"/>
    </xf>
    <xf borderId="18" fillId="2" fontId="10" numFmtId="165" xfId="0" applyAlignment="1" applyBorder="1" applyFont="1" applyNumberFormat="1">
      <alignment horizontal="right" vertical="center"/>
    </xf>
    <xf borderId="18" fillId="2" fontId="10" numFmtId="165" xfId="0" applyAlignment="1" applyBorder="1" applyFont="1" applyNumberFormat="1">
      <alignment vertical="center"/>
    </xf>
    <xf borderId="18" fillId="10" fontId="10" numFmtId="0" xfId="0" applyAlignment="1" applyBorder="1" applyFill="1" applyFont="1">
      <alignment vertical="center"/>
    </xf>
    <xf borderId="18" fillId="10" fontId="8" numFmtId="0" xfId="0" applyAlignment="1" applyBorder="1" applyFont="1">
      <alignment horizontal="center" vertical="center"/>
    </xf>
    <xf borderId="18" fillId="10" fontId="10" numFmtId="165" xfId="0" applyAlignment="1" applyBorder="1" applyFont="1" applyNumberFormat="1">
      <alignment horizontal="right" vertical="center"/>
    </xf>
    <xf borderId="18" fillId="10" fontId="10" numFmtId="165" xfId="0" applyAlignment="1" applyBorder="1" applyFont="1" applyNumberFormat="1">
      <alignment vertical="center"/>
    </xf>
    <xf borderId="18" fillId="7" fontId="10" numFmtId="165" xfId="0" applyAlignment="1" applyBorder="1" applyFont="1" applyNumberFormat="1">
      <alignment horizontal="right" vertical="center"/>
    </xf>
    <xf borderId="33" fillId="7" fontId="10" numFmtId="0" xfId="0" applyAlignment="1" applyBorder="1" applyFont="1">
      <alignment vertical="center"/>
    </xf>
    <xf borderId="33" fillId="7" fontId="8" numFmtId="0" xfId="0" applyAlignment="1" applyBorder="1" applyFont="1">
      <alignment horizontal="center" vertical="center"/>
    </xf>
    <xf borderId="33" fillId="2" fontId="10" numFmtId="0" xfId="0" applyAlignment="1" applyBorder="1" applyFont="1">
      <alignment vertical="center"/>
    </xf>
    <xf borderId="33" fillId="2" fontId="8" numFmtId="0" xfId="0" applyAlignment="1" applyBorder="1" applyFont="1">
      <alignment horizontal="center" vertical="center"/>
    </xf>
    <xf borderId="33" fillId="2" fontId="10" numFmtId="165" xfId="0" applyAlignment="1" applyBorder="1" applyFont="1" applyNumberFormat="1">
      <alignment horizontal="right" vertical="center"/>
    </xf>
    <xf borderId="33" fillId="7" fontId="21" numFmtId="165" xfId="0" applyAlignment="1" applyBorder="1" applyFont="1" applyNumberFormat="1">
      <alignment horizontal="right" vertical="center"/>
    </xf>
    <xf borderId="33" fillId="7" fontId="22" numFmtId="165" xfId="0" applyAlignment="1" applyBorder="1" applyFont="1" applyNumberFormat="1">
      <alignment horizontal="right" vertical="center"/>
    </xf>
    <xf borderId="16" fillId="0" fontId="1" numFmtId="0" xfId="0" applyAlignment="1" applyBorder="1" applyFont="1">
      <alignment vertical="center"/>
    </xf>
    <xf borderId="16" fillId="0" fontId="1" numFmtId="164" xfId="0" applyAlignment="1" applyBorder="1" applyFont="1" applyNumberFormat="1">
      <alignment vertical="center"/>
    </xf>
    <xf borderId="33" fillId="7" fontId="1" numFmtId="165" xfId="0" applyAlignment="1" applyBorder="1" applyFont="1" applyNumberFormat="1">
      <alignment vertical="center"/>
    </xf>
    <xf borderId="18" fillId="5" fontId="23" numFmtId="0" xfId="0" applyAlignment="1" applyBorder="1" applyFont="1">
      <alignment vertical="center"/>
    </xf>
    <xf borderId="18" fillId="5" fontId="23" numFmtId="0" xfId="0" applyAlignment="1" applyBorder="1" applyFont="1">
      <alignment horizontal="center" vertical="center"/>
    </xf>
    <xf borderId="0" fillId="0" fontId="1" numFmtId="169" xfId="0" applyAlignment="1" applyFont="1" applyNumberFormat="1">
      <alignment vertical="center"/>
    </xf>
    <xf borderId="18" fillId="5" fontId="13" numFmtId="0" xfId="0" applyAlignment="1" applyBorder="1" applyFont="1">
      <alignment horizontal="right" vertical="center"/>
    </xf>
    <xf borderId="0" fillId="0" fontId="1" numFmtId="0" xfId="0" applyAlignment="1" applyFont="1">
      <alignment horizontal="center"/>
    </xf>
    <xf borderId="0" fillId="0" fontId="1" numFmtId="0" xfId="0" applyFont="1"/>
    <xf borderId="18" fillId="9" fontId="11" numFmtId="166" xfId="0" applyAlignment="1" applyBorder="1" applyFont="1" applyNumberFormat="1">
      <alignment vertical="center"/>
    </xf>
    <xf borderId="18" fillId="9" fontId="11" numFmtId="10" xfId="0" applyAlignment="1" applyBorder="1" applyFont="1" applyNumberFormat="1">
      <alignment horizontal="right" vertical="center"/>
    </xf>
    <xf borderId="0" fillId="0" fontId="11" numFmtId="10" xfId="0" applyAlignment="1" applyFont="1" applyNumberFormat="1">
      <alignment horizontal="right" vertical="center"/>
    </xf>
    <xf borderId="0" fillId="0" fontId="11" numFmtId="4" xfId="0" applyAlignment="1" applyFont="1" applyNumberFormat="1">
      <alignment vertical="center"/>
    </xf>
    <xf borderId="0" fillId="0" fontId="8" numFmtId="10" xfId="0" applyFont="1" applyNumberFormat="1"/>
    <xf borderId="18" fillId="7" fontId="24" numFmtId="10" xfId="0" applyAlignment="1" applyBorder="1" applyFont="1" applyNumberFormat="1">
      <alignment horizontal="right" readingOrder="0" vertical="center"/>
    </xf>
    <xf borderId="18" fillId="9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0" fillId="0" fontId="13" numFmtId="10" xfId="0" applyAlignment="1" applyFont="1" applyNumberFormat="1">
      <alignment horizontal="right" vertical="center"/>
    </xf>
    <xf borderId="0" fillId="0" fontId="25" numFmtId="10" xfId="0" applyAlignment="1" applyFont="1" applyNumberFormat="1">
      <alignment horizontal="right"/>
    </xf>
    <xf borderId="18" fillId="9" fontId="11" numFmtId="170" xfId="0" applyAlignment="1" applyBorder="1" applyFont="1" applyNumberFormat="1">
      <alignment vertical="center"/>
    </xf>
    <xf borderId="0" fillId="0" fontId="1" numFmtId="171" xfId="0" applyAlignment="1" applyFont="1" applyNumberFormat="1">
      <alignment horizontal="right"/>
    </xf>
    <xf borderId="0" fillId="0" fontId="11" numFmtId="170" xfId="0" applyAlignment="1" applyFont="1" applyNumberFormat="1">
      <alignment vertical="center"/>
    </xf>
    <xf borderId="0" fillId="0" fontId="1" numFmtId="10" xfId="0" applyAlignment="1" applyFont="1" applyNumberFormat="1">
      <alignment horizontal="right"/>
    </xf>
    <xf borderId="18" fillId="2" fontId="11" numFmtId="172" xfId="0" applyAlignment="1" applyBorder="1" applyFont="1" applyNumberFormat="1">
      <alignment vertical="center"/>
    </xf>
    <xf borderId="0" fillId="0" fontId="1" numFmtId="172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0" fontId="11" numFmtId="172" xfId="0" applyAlignment="1" applyFont="1" applyNumberFormat="1">
      <alignment vertical="center"/>
    </xf>
    <xf borderId="0" fillId="0" fontId="26" numFmtId="172" xfId="0" applyAlignment="1" applyFont="1" applyNumberFormat="1">
      <alignment horizontal="right"/>
    </xf>
    <xf borderId="0" fillId="0" fontId="26" numFmtId="172" xfId="0" applyAlignment="1" applyFont="1" applyNumberFormat="1">
      <alignment horizontal="right" readingOrder="0"/>
    </xf>
    <xf borderId="0" fillId="0" fontId="11" numFmtId="172" xfId="0" applyAlignment="1" applyFont="1" applyNumberFormat="1">
      <alignment horizontal="right" vertical="center"/>
    </xf>
    <xf borderId="16" fillId="0" fontId="1" numFmtId="0" xfId="0" applyAlignment="1" applyBorder="1" applyFont="1">
      <alignment horizontal="left"/>
    </xf>
    <xf borderId="16" fillId="0" fontId="1" numFmtId="0" xfId="0" applyAlignment="1" applyBorder="1" applyFont="1">
      <alignment horizontal="center"/>
    </xf>
    <xf borderId="16" fillId="0" fontId="13" numFmtId="0" xfId="0" applyAlignment="1" applyBorder="1" applyFont="1">
      <alignment horizontal="center" vertical="center"/>
    </xf>
    <xf borderId="16" fillId="0" fontId="11" numFmtId="172" xfId="0" applyAlignment="1" applyBorder="1" applyFont="1" applyNumberFormat="1">
      <alignment vertical="center"/>
    </xf>
    <xf borderId="16" fillId="0" fontId="11" numFmtId="172" xfId="0" applyAlignment="1" applyBorder="1" applyFont="1" applyNumberFormat="1">
      <alignment horizontal="right" vertical="center"/>
    </xf>
    <xf borderId="0" fillId="0" fontId="8" numFmtId="165" xfId="0" applyFont="1" applyNumberFormat="1"/>
    <xf borderId="18" fillId="2" fontId="13" numFmtId="0" xfId="0" applyAlignment="1" applyBorder="1" applyFont="1">
      <alignment vertical="center"/>
    </xf>
    <xf borderId="18" fillId="2" fontId="13" numFmtId="0" xfId="0" applyAlignment="1" applyBorder="1" applyFont="1">
      <alignment horizontal="center" vertical="center"/>
    </xf>
    <xf borderId="18" fillId="2" fontId="11" numFmtId="10" xfId="0" applyAlignment="1" applyBorder="1" applyFont="1" applyNumberFormat="1">
      <alignment horizontal="right" vertical="center"/>
    </xf>
    <xf borderId="18" fillId="2" fontId="1" numFmtId="0" xfId="0" applyAlignment="1" applyBorder="1" applyFont="1">
      <alignment vertical="center"/>
    </xf>
    <xf borderId="0" fillId="0" fontId="27" numFmtId="0" xfId="0" applyFont="1"/>
    <xf borderId="0" fillId="0" fontId="11" numFmtId="0" xfId="0" applyAlignment="1" applyFont="1">
      <alignment horizontal="center" vertical="center"/>
    </xf>
    <xf borderId="0" fillId="0" fontId="1" numFmtId="171" xfId="0" applyAlignment="1" applyFont="1" applyNumberFormat="1">
      <alignment horizontal="right"/>
    </xf>
    <xf borderId="0" fillId="0" fontId="13" numFmtId="170" xfId="0" applyAlignment="1" applyFont="1" applyNumberFormat="1">
      <alignment vertical="center"/>
    </xf>
    <xf borderId="0" fillId="0" fontId="1" numFmtId="173" xfId="0" applyAlignment="1" applyFont="1" applyNumberFormat="1">
      <alignment horizontal="right" vertical="center"/>
    </xf>
    <xf borderId="0" fillId="0" fontId="1" numFmtId="10" xfId="0" applyAlignment="1" applyFont="1" applyNumberFormat="1">
      <alignment horizontal="right" vertical="center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11" numFmtId="1" xfId="0" applyFont="1" applyNumberFormat="1"/>
    <xf borderId="0" fillId="0" fontId="1" numFmtId="1" xfId="0" applyFont="1" applyNumberFormat="1"/>
    <xf borderId="0" fillId="0" fontId="11" numFmtId="0" xfId="0" applyFont="1"/>
    <xf borderId="15" fillId="0" fontId="1" numFmtId="0" xfId="0" applyAlignment="1" applyBorder="1" applyFont="1">
      <alignment horizontal="center"/>
    </xf>
    <xf borderId="42" fillId="0" fontId="1" numFmtId="0" xfId="0" applyAlignment="1" applyBorder="1" applyFont="1">
      <alignment horizontal="center" vertical="center"/>
    </xf>
    <xf borderId="43" fillId="4" fontId="23" numFmtId="0" xfId="0" applyAlignment="1" applyBorder="1" applyFont="1">
      <alignment vertical="center"/>
    </xf>
    <xf borderId="44" fillId="4" fontId="23" numFmtId="0" xfId="0" applyAlignment="1" applyBorder="1" applyFont="1">
      <alignment vertical="center"/>
    </xf>
    <xf borderId="18" fillId="5" fontId="23" numFmtId="0" xfId="0" applyBorder="1" applyFont="1"/>
    <xf borderId="18" fillId="2" fontId="1" numFmtId="0" xfId="0" applyBorder="1" applyFont="1"/>
    <xf borderId="18" fillId="2" fontId="28" numFmtId="0" xfId="0" applyBorder="1" applyFont="1"/>
    <xf borderId="42" fillId="2" fontId="8" numFmtId="0" xfId="0" applyAlignment="1" applyBorder="1" applyFont="1">
      <alignment horizontal="center"/>
    </xf>
    <xf borderId="18" fillId="2" fontId="8" numFmtId="0" xfId="0" applyAlignment="1" applyBorder="1" applyFont="1">
      <alignment horizontal="center"/>
    </xf>
    <xf borderId="18" fillId="4" fontId="23" numFmtId="16" xfId="0" applyAlignment="1" applyBorder="1" applyFont="1" applyNumberFormat="1">
      <alignment horizontal="center"/>
    </xf>
    <xf borderId="18" fillId="5" fontId="23" numFmtId="16" xfId="0" applyAlignment="1" applyBorder="1" applyFont="1" applyNumberFormat="1">
      <alignment horizontal="center"/>
    </xf>
    <xf borderId="18" fillId="4" fontId="28" numFmtId="0" xfId="0" applyBorder="1" applyFont="1"/>
    <xf borderId="18" fillId="4" fontId="28" numFmtId="0" xfId="0" applyAlignment="1" applyBorder="1" applyFont="1">
      <alignment horizontal="center"/>
    </xf>
    <xf borderId="18" fillId="4" fontId="28" numFmtId="16" xfId="0" applyBorder="1" applyFont="1" applyNumberFormat="1"/>
    <xf borderId="0" fillId="0" fontId="1" numFmtId="10" xfId="0" applyFont="1" applyNumberFormat="1"/>
    <xf borderId="0" fillId="0" fontId="1" numFmtId="166" xfId="0" applyAlignment="1" applyFont="1" applyNumberFormat="1">
      <alignment horizontal="center"/>
    </xf>
    <xf borderId="18" fillId="7" fontId="1" numFmtId="166" xfId="0" applyAlignment="1" applyBorder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18" fillId="2" fontId="29" numFmtId="9" xfId="0" applyAlignment="1" applyBorder="1" applyFont="1" applyNumberFormat="1">
      <alignment horizontal="center"/>
    </xf>
    <xf borderId="18" fillId="7" fontId="29" numFmtId="9" xfId="0" applyAlignment="1" applyBorder="1" applyFont="1" applyNumberFormat="1">
      <alignment horizontal="center"/>
    </xf>
    <xf borderId="18" fillId="7" fontId="29" numFmtId="166" xfId="0" applyAlignment="1" applyBorder="1" applyFont="1" applyNumberFormat="1">
      <alignment horizontal="center"/>
    </xf>
    <xf borderId="18" fillId="5" fontId="28" numFmtId="0" xfId="0" applyBorder="1" applyFont="1"/>
    <xf borderId="18" fillId="5" fontId="28" numFmtId="0" xfId="0" applyAlignment="1" applyBorder="1" applyFont="1">
      <alignment horizontal="center"/>
    </xf>
    <xf borderId="18" fillId="4" fontId="1" numFmtId="0" xfId="0" applyBorder="1" applyFont="1"/>
    <xf borderId="18" fillId="4" fontId="1" numFmtId="0" xfId="0" applyAlignment="1" applyBorder="1" applyFont="1">
      <alignment horizontal="center"/>
    </xf>
    <xf borderId="0" fillId="0" fontId="30" numFmtId="1" xfId="0" applyFont="1" applyNumberFormat="1"/>
    <xf borderId="18" fillId="7" fontId="8" numFmtId="3" xfId="0" applyBorder="1" applyFont="1" applyNumberFormat="1"/>
    <xf borderId="0" fillId="0" fontId="1" numFmtId="9" xfId="0" applyFont="1" applyNumberFormat="1"/>
    <xf borderId="0" fillId="0" fontId="1" numFmtId="166" xfId="0" applyFont="1" applyNumberFormat="1"/>
    <xf borderId="18" fillId="7" fontId="1" numFmtId="166" xfId="0" applyBorder="1" applyFont="1" applyNumberFormat="1"/>
    <xf borderId="0" fillId="0" fontId="31" numFmtId="0" xfId="0" applyFont="1"/>
    <xf borderId="18" fillId="2" fontId="30" numFmtId="0" xfId="0" applyBorder="1" applyFont="1"/>
    <xf borderId="18" fillId="2" fontId="1" numFmtId="3" xfId="0" applyBorder="1" applyFont="1" applyNumberFormat="1"/>
    <xf borderId="0" fillId="0" fontId="1" numFmtId="3" xfId="0" applyFont="1" applyNumberFormat="1"/>
    <xf borderId="0" fillId="0" fontId="32" numFmtId="0" xfId="0" applyFont="1"/>
    <xf borderId="0" fillId="0" fontId="33" numFmtId="0" xfId="0" applyFont="1"/>
    <xf borderId="0" fillId="0" fontId="33" numFmtId="0" xfId="0" applyAlignment="1" applyFont="1">
      <alignment horizontal="center"/>
    </xf>
    <xf borderId="0" fillId="0" fontId="33" numFmtId="9" xfId="0" applyFont="1" applyNumberFormat="1"/>
    <xf borderId="0" fillId="0" fontId="33" numFmtId="166" xfId="0" applyFont="1" applyNumberFormat="1"/>
    <xf borderId="18" fillId="7" fontId="33" numFmtId="166" xfId="0" applyBorder="1" applyFont="1" applyNumberFormat="1"/>
    <xf borderId="18" fillId="2" fontId="33" numFmtId="1" xfId="0" applyBorder="1" applyFont="1" applyNumberFormat="1"/>
    <xf borderId="18" fillId="2" fontId="1" numFmtId="1" xfId="0" applyBorder="1" applyFont="1" applyNumberFormat="1"/>
    <xf borderId="18" fillId="2" fontId="8" numFmtId="3" xfId="0" applyBorder="1" applyFont="1" applyNumberFormat="1"/>
    <xf borderId="18" fillId="2" fontId="8" numFmtId="174" xfId="0" applyBorder="1" applyFont="1" applyNumberFormat="1"/>
    <xf borderId="18" fillId="2" fontId="8" numFmtId="175" xfId="0" applyBorder="1" applyFont="1" applyNumberFormat="1"/>
    <xf borderId="18" fillId="2" fontId="8" numFmtId="176" xfId="0" applyBorder="1" applyFont="1" applyNumberFormat="1"/>
    <xf borderId="0" fillId="0" fontId="1" numFmtId="172" xfId="0" applyFont="1" applyNumberFormat="1"/>
    <xf borderId="42" fillId="2" fontId="8" numFmtId="9" xfId="0" applyAlignment="1" applyBorder="1" applyFont="1" applyNumberFormat="1">
      <alignment horizontal="center"/>
    </xf>
    <xf borderId="18" fillId="2" fontId="8" numFmtId="166" xfId="0" applyBorder="1" applyFont="1" applyNumberFormat="1"/>
    <xf borderId="18" fillId="7" fontId="8" numFmtId="174" xfId="0" applyBorder="1" applyFont="1" applyNumberFormat="1"/>
    <xf borderId="18" fillId="7" fontId="1" numFmtId="0" xfId="0" applyBorder="1" applyFont="1"/>
    <xf borderId="18" fillId="2" fontId="33" numFmtId="0" xfId="0" applyBorder="1" applyFont="1"/>
    <xf borderId="18" fillId="7" fontId="8" numFmtId="1" xfId="0" applyBorder="1" applyFont="1" applyNumberFormat="1"/>
    <xf borderId="42" fillId="0" fontId="1" numFmtId="9" xfId="0" applyAlignment="1" applyBorder="1" applyFont="1" applyNumberFormat="1">
      <alignment horizontal="center"/>
    </xf>
    <xf borderId="18" fillId="7" fontId="1" numFmtId="2" xfId="0" applyBorder="1" applyFont="1" applyNumberFormat="1"/>
    <xf borderId="18" fillId="7" fontId="8" numFmtId="172" xfId="0" applyBorder="1" applyFont="1" applyNumberFormat="1"/>
    <xf borderId="18" fillId="2" fontId="8" numFmtId="172" xfId="0" applyBorder="1" applyFont="1" applyNumberFormat="1"/>
    <xf borderId="18" fillId="2" fontId="8" numFmtId="9" xfId="0" applyBorder="1" applyFont="1" applyNumberFormat="1"/>
    <xf borderId="18" fillId="2" fontId="1" numFmtId="172" xfId="0" applyBorder="1" applyFont="1" applyNumberFormat="1"/>
    <xf borderId="18" fillId="2" fontId="34" numFmtId="1" xfId="0" applyBorder="1" applyFont="1" applyNumberFormat="1"/>
    <xf borderId="18" fillId="7" fontId="1" numFmtId="1" xfId="0" applyBorder="1" applyFont="1" applyNumberFormat="1"/>
    <xf borderId="0" fillId="0" fontId="34" numFmtId="1" xfId="0" applyFont="1" applyNumberFormat="1"/>
    <xf borderId="6" fillId="0" fontId="1" numFmtId="0" xfId="0" applyBorder="1" applyFont="1"/>
    <xf borderId="6" fillId="0" fontId="1" numFmtId="0" xfId="0" applyAlignment="1" applyBorder="1" applyFont="1">
      <alignment horizontal="center"/>
    </xf>
    <xf borderId="6" fillId="0" fontId="34" numFmtId="1" xfId="0" applyBorder="1" applyFont="1" applyNumberFormat="1"/>
    <xf borderId="34" fillId="7" fontId="1" numFmtId="1" xfId="0" applyBorder="1" applyFont="1" applyNumberFormat="1"/>
    <xf borderId="0" fillId="0" fontId="11" numFmtId="0" xfId="0" applyAlignment="1" applyFont="1">
      <alignment horizontal="center"/>
    </xf>
    <xf borderId="0" fillId="0" fontId="35" numFmtId="165" xfId="0" applyAlignment="1" applyFont="1" applyNumberFormat="1">
      <alignment vertical="center"/>
    </xf>
    <xf borderId="18" fillId="7" fontId="11" numFmtId="165" xfId="0" applyBorder="1" applyFont="1" applyNumberFormat="1"/>
    <xf borderId="0" fillId="0" fontId="30" numFmtId="0" xfId="0" applyFont="1"/>
    <xf borderId="0" fillId="0" fontId="36" numFmtId="1" xfId="0" applyFont="1" applyNumberFormat="1"/>
    <xf borderId="6" fillId="0" fontId="36" numFmtId="1" xfId="0" applyBorder="1" applyFont="1" applyNumberFormat="1"/>
    <xf borderId="18" fillId="7" fontId="11" numFmtId="1" xfId="0" applyBorder="1" applyFont="1" applyNumberFormat="1"/>
    <xf borderId="18" fillId="2" fontId="11" numFmtId="0" xfId="0" applyBorder="1" applyFont="1"/>
    <xf borderId="18" fillId="2" fontId="1" numFmtId="0" xfId="0" applyAlignment="1" applyBorder="1" applyFont="1">
      <alignment horizontal="center"/>
    </xf>
    <xf borderId="0" fillId="0" fontId="37" numFmtId="1" xfId="0" applyFont="1" applyNumberFormat="1"/>
    <xf borderId="6" fillId="0" fontId="37" numFmtId="1" xfId="0" applyBorder="1" applyFont="1" applyNumberFormat="1"/>
    <xf borderId="18" fillId="7" fontId="10" numFmtId="1" xfId="0" applyBorder="1" applyFont="1" applyNumberFormat="1"/>
    <xf borderId="18" fillId="4" fontId="23" numFmtId="0" xfId="0" applyBorder="1" applyFont="1"/>
    <xf borderId="18" fillId="4" fontId="23" numFmtId="0" xfId="0" applyAlignment="1" applyBorder="1" applyFont="1">
      <alignment horizontal="center"/>
    </xf>
    <xf borderId="6" fillId="0" fontId="1" numFmtId="1" xfId="0" applyBorder="1" applyFont="1" applyNumberFormat="1"/>
    <xf borderId="18" fillId="2" fontId="1" numFmtId="0" xfId="0" applyAlignment="1" applyBorder="1" applyFont="1">
      <alignment horizontal="left"/>
    </xf>
    <xf borderId="18" fillId="7" fontId="1" numFmtId="9" xfId="0" applyBorder="1" applyFont="1" applyNumberFormat="1"/>
    <xf borderId="0" fillId="0" fontId="11" numFmtId="0" xfId="0" applyAlignment="1" applyFont="1">
      <alignment horizontal="left" vertical="center"/>
    </xf>
    <xf borderId="18" fillId="7" fontId="30" numFmtId="1" xfId="0" applyBorder="1" applyFont="1" applyNumberFormat="1"/>
    <xf borderId="18" fillId="4" fontId="11" numFmtId="0" xfId="0" applyBorder="1" applyFont="1"/>
    <xf borderId="18" fillId="4" fontId="11" numFmtId="0" xfId="0" applyAlignment="1" applyBorder="1" applyFont="1">
      <alignment horizontal="center"/>
    </xf>
    <xf borderId="18" fillId="7" fontId="34" numFmtId="10" xfId="0" applyBorder="1" applyFont="1" applyNumberFormat="1"/>
    <xf borderId="18" fillId="4" fontId="38" numFmtId="0" xfId="0" applyBorder="1" applyFont="1"/>
    <xf borderId="18" fillId="7" fontId="1" numFmtId="3" xfId="0" applyBorder="1" applyFont="1" applyNumberFormat="1"/>
    <xf borderId="0" fillId="0" fontId="30" numFmtId="172" xfId="0" applyFont="1" applyNumberFormat="1"/>
    <xf borderId="18" fillId="7" fontId="1" numFmtId="172" xfId="0" applyBorder="1" applyFont="1" applyNumberFormat="1"/>
    <xf borderId="16" fillId="0" fontId="11" numFmtId="0" xfId="0" applyBorder="1" applyFont="1"/>
    <xf borderId="16" fillId="0" fontId="1" numFmtId="0" xfId="0" applyBorder="1" applyFont="1"/>
    <xf borderId="16" fillId="0" fontId="11" numFmtId="0" xfId="0" applyAlignment="1" applyBorder="1" applyFont="1">
      <alignment horizontal="center"/>
    </xf>
    <xf borderId="16" fillId="0" fontId="11" numFmtId="172" xfId="0" applyBorder="1" applyFont="1" applyNumberFormat="1"/>
    <xf borderId="16" fillId="0" fontId="11" numFmtId="1" xfId="0" applyBorder="1" applyFont="1" applyNumberFormat="1"/>
    <xf borderId="33" fillId="7" fontId="11" numFmtId="1" xfId="0" applyBorder="1" applyFont="1" applyNumberFormat="1"/>
    <xf borderId="33" fillId="7" fontId="11" numFmtId="0" xfId="0" applyBorder="1" applyFont="1"/>
    <xf borderId="33" fillId="7" fontId="1" numFmtId="0" xfId="0" applyBorder="1" applyFont="1"/>
    <xf borderId="33" fillId="7" fontId="11" numFmtId="0" xfId="0" applyAlignment="1" applyBorder="1" applyFont="1">
      <alignment horizontal="center"/>
    </xf>
    <xf borderId="29" fillId="0" fontId="39" numFmtId="0" xfId="0" applyBorder="1" applyFont="1"/>
    <xf borderId="35" fillId="0" fontId="1" numFmtId="0" xfId="0" applyBorder="1" applyFont="1"/>
    <xf borderId="35" fillId="0" fontId="1" numFmtId="0" xfId="0" applyAlignment="1" applyBorder="1" applyFont="1">
      <alignment horizontal="center"/>
    </xf>
    <xf borderId="30" fillId="0" fontId="1" numFmtId="0" xfId="0" applyBorder="1" applyFont="1"/>
    <xf borderId="31" fillId="0" fontId="1" numFmtId="0" xfId="0" applyBorder="1" applyFont="1"/>
    <xf borderId="45" fillId="7" fontId="1" numFmtId="1" xfId="0" applyBorder="1" applyFont="1" applyNumberFormat="1"/>
    <xf borderId="31" fillId="0" fontId="8" numFmtId="0" xfId="0" applyAlignment="1" applyBorder="1" applyFont="1">
      <alignment vertical="center"/>
    </xf>
    <xf borderId="45" fillId="7" fontId="1" numFmtId="166" xfId="0" applyBorder="1" applyFont="1" applyNumberFormat="1"/>
    <xf borderId="46" fillId="9" fontId="8" numFmtId="0" xfId="0" applyAlignment="1" applyBorder="1" applyFont="1">
      <alignment vertical="center"/>
    </xf>
    <xf borderId="46" fillId="2" fontId="8" numFmtId="0" xfId="0" applyAlignment="1" applyBorder="1" applyFont="1">
      <alignment vertical="center"/>
    </xf>
    <xf borderId="32" fillId="0" fontId="1" numFmtId="0" xfId="0" applyBorder="1" applyFont="1"/>
    <xf borderId="31" fillId="0" fontId="40" numFmtId="0" xfId="0" applyBorder="1" applyFont="1"/>
    <xf borderId="47" fillId="9" fontId="8" numFmtId="0" xfId="0" applyBorder="1" applyFont="1"/>
    <xf borderId="6" fillId="0" fontId="1" numFmtId="166" xfId="0" applyBorder="1" applyFont="1" applyNumberFormat="1"/>
    <xf borderId="34" fillId="7" fontId="1" numFmtId="166" xfId="0" applyBorder="1" applyFont="1" applyNumberFormat="1"/>
    <xf borderId="48" fillId="7" fontId="1" numFmtId="166" xfId="0" applyBorder="1" applyFont="1" applyNumberFormat="1"/>
    <xf borderId="42" fillId="0" fontId="1" numFmtId="0" xfId="0" applyBorder="1" applyFont="1"/>
    <xf borderId="42" fillId="0" fontId="1" numFmtId="3" xfId="0" applyBorder="1" applyFont="1" applyNumberFormat="1"/>
    <xf borderId="42" fillId="0" fontId="8" numFmtId="0" xfId="0" applyBorder="1" applyFont="1"/>
    <xf borderId="42" fillId="0" fontId="8" numFmtId="166" xfId="0" applyBorder="1" applyFont="1" applyNumberFormat="1"/>
    <xf borderId="42" fillId="0" fontId="1" numFmtId="177" xfId="0" applyBorder="1" applyFont="1" applyNumberFormat="1"/>
    <xf borderId="0" fillId="0" fontId="26" numFmtId="0" xfId="0" applyFont="1"/>
    <xf borderId="6" fillId="0" fontId="8" numFmtId="0" xfId="0" applyBorder="1" applyFont="1"/>
    <xf borderId="34" fillId="7" fontId="8" numFmtId="1" xfId="0" applyBorder="1" applyFont="1" applyNumberFormat="1"/>
    <xf borderId="18" fillId="2" fontId="8" numFmtId="1" xfId="0" applyBorder="1" applyFont="1" applyNumberFormat="1"/>
    <xf borderId="0" fillId="0" fontId="8" numFmtId="1" xfId="0" applyFont="1" applyNumberFormat="1"/>
    <xf borderId="18" fillId="11" fontId="11" numFmtId="0" xfId="0" applyBorder="1" applyFill="1" applyFont="1"/>
    <xf borderId="18" fillId="11" fontId="11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6" fillId="0" fontId="1" numFmtId="0" xfId="0" applyAlignment="1" applyBorder="1" applyFont="1">
      <alignment horizontal="left" vertical="center"/>
    </xf>
    <xf borderId="18" fillId="12" fontId="13" numFmtId="0" xfId="0" applyAlignment="1" applyBorder="1" applyFill="1" applyFont="1">
      <alignment horizontal="right" vertical="center"/>
    </xf>
    <xf borderId="18" fillId="13" fontId="13" numFmtId="0" xfId="0" applyAlignment="1" applyBorder="1" applyFill="1" applyFont="1">
      <alignment horizontal="right" vertical="center"/>
    </xf>
    <xf borderId="18" fillId="12" fontId="41" numFmtId="178" xfId="0" applyAlignment="1" applyBorder="1" applyFont="1" applyNumberFormat="1">
      <alignment vertical="center"/>
    </xf>
    <xf borderId="18" fillId="12" fontId="41" numFmtId="178" xfId="0" applyAlignment="1" applyBorder="1" applyFont="1" applyNumberFormat="1">
      <alignment horizontal="right" vertical="center"/>
    </xf>
    <xf borderId="18" fillId="5" fontId="41" numFmtId="178" xfId="0" applyAlignment="1" applyBorder="1" applyFont="1" applyNumberFormat="1">
      <alignment horizontal="right" vertical="center"/>
    </xf>
    <xf borderId="6" fillId="0" fontId="8" numFmtId="1" xfId="0" applyBorder="1" applyFont="1" applyNumberFormat="1"/>
    <xf borderId="34" fillId="7" fontId="1" numFmtId="172" xfId="0" applyBorder="1" applyFont="1" applyNumberFormat="1"/>
    <xf borderId="0" fillId="0" fontId="1" numFmtId="2" xfId="0" applyFont="1" applyNumberFormat="1"/>
    <xf borderId="0" fillId="0" fontId="1" numFmtId="2" xfId="0" applyAlignment="1" applyFont="1" applyNumberFormat="1">
      <alignment horizontal="center"/>
    </xf>
    <xf borderId="0" fillId="0" fontId="11" numFmtId="10" xfId="0" applyFont="1" applyNumberFormat="1"/>
    <xf borderId="18" fillId="7" fontId="11" numFmtId="10" xfId="0" applyBorder="1" applyFont="1" applyNumberFormat="1"/>
    <xf borderId="6" fillId="0" fontId="11" numFmtId="1" xfId="0" applyBorder="1" applyFont="1" applyNumberFormat="1"/>
    <xf borderId="18" fillId="14" fontId="1" numFmtId="0" xfId="0" applyBorder="1" applyFill="1" applyFont="1"/>
    <xf borderId="36" fillId="7" fontId="11" numFmtId="1" xfId="0" applyBorder="1" applyFont="1" applyNumberFormat="1"/>
    <xf borderId="0" fillId="0" fontId="37" numFmtId="172" xfId="0" applyFont="1" applyNumberFormat="1"/>
    <xf borderId="6" fillId="0" fontId="37" numFmtId="172" xfId="0" applyBorder="1" applyFont="1" applyNumberFormat="1"/>
    <xf borderId="0" fillId="0" fontId="11" numFmtId="172" xfId="0" applyFont="1" applyNumberFormat="1"/>
    <xf borderId="29" fillId="0" fontId="1" numFmtId="0" xfId="0" applyBorder="1" applyFont="1"/>
    <xf borderId="35" fillId="0" fontId="1" numFmtId="166" xfId="0" applyBorder="1" applyFont="1" applyNumberFormat="1"/>
    <xf borderId="49" fillId="7" fontId="1" numFmtId="9" xfId="0" applyBorder="1" applyFont="1" applyNumberFormat="1"/>
    <xf borderId="36" fillId="7" fontId="1" numFmtId="9" xfId="0" applyBorder="1" applyFont="1" applyNumberFormat="1"/>
    <xf borderId="50" fillId="7" fontId="1" numFmtId="9" xfId="0" applyBorder="1" applyFont="1" applyNumberFormat="1"/>
    <xf borderId="38" fillId="0" fontId="1" numFmtId="0" xfId="0" applyBorder="1" applyFont="1"/>
    <xf borderId="47" fillId="7" fontId="1" numFmtId="166" xfId="0" applyBorder="1" applyFont="1" applyNumberFormat="1"/>
    <xf borderId="34" fillId="7" fontId="1" numFmtId="9" xfId="0" applyBorder="1" applyFont="1" applyNumberFormat="1"/>
    <xf borderId="48" fillId="7" fontId="1" numFmtId="9" xfId="0" applyBorder="1" applyFont="1" applyNumberFormat="1"/>
    <xf borderId="0" fillId="0" fontId="36" numFmtId="0" xfId="0" applyFont="1"/>
    <xf borderId="18" fillId="7" fontId="11" numFmtId="172" xfId="0" applyBorder="1" applyFont="1" applyNumberFormat="1"/>
    <xf borderId="34" fillId="2" fontId="42" numFmtId="0" xfId="0" applyBorder="1" applyFont="1"/>
    <xf borderId="18" fillId="2" fontId="43" numFmtId="0" xfId="0" applyBorder="1" applyFont="1"/>
    <xf borderId="18" fillId="2" fontId="37" numFmtId="172" xfId="0" applyBorder="1" applyFont="1" applyNumberFormat="1"/>
    <xf borderId="18" fillId="5" fontId="1" numFmtId="0" xfId="0" applyBorder="1" applyFont="1"/>
    <xf borderId="16" fillId="0" fontId="3" numFmtId="0" xfId="0" applyAlignment="1" applyBorder="1" applyFont="1">
      <alignment vertical="center"/>
    </xf>
    <xf borderId="16" fillId="0" fontId="3" numFmtId="0" xfId="0" applyAlignment="1" applyBorder="1" applyFont="1">
      <alignment horizontal="center" vertical="center"/>
    </xf>
    <xf borderId="16" fillId="0" fontId="3" numFmtId="1" xfId="0" applyAlignment="1" applyBorder="1" applyFont="1" applyNumberFormat="1">
      <alignment vertical="center"/>
    </xf>
    <xf borderId="33" fillId="7" fontId="3" numFmtId="1" xfId="0" applyAlignment="1" applyBorder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3" numFmtId="172" xfId="0" applyAlignment="1" applyFont="1" applyNumberFormat="1">
      <alignment horizontal="right" vertical="center"/>
    </xf>
    <xf borderId="18" fillId="7" fontId="1" numFmtId="164" xfId="0" applyBorder="1" applyFont="1" applyNumberFormat="1"/>
    <xf borderId="35" fillId="0" fontId="3" numFmtId="0" xfId="0" applyAlignment="1" applyBorder="1" applyFont="1">
      <alignment vertical="center"/>
    </xf>
    <xf borderId="35" fillId="0" fontId="3" numFmtId="0" xfId="0" applyAlignment="1" applyBorder="1" applyFont="1">
      <alignment horizontal="center" vertical="center"/>
    </xf>
    <xf borderId="35" fillId="0" fontId="3" numFmtId="1" xfId="0" applyAlignment="1" applyBorder="1" applyFont="1" applyNumberFormat="1">
      <alignment horizontal="right" vertical="center"/>
    </xf>
    <xf borderId="33" fillId="7" fontId="3" numFmtId="1" xfId="0" applyAlignment="1" applyBorder="1" applyFont="1" applyNumberFormat="1">
      <alignment horizontal="right" vertical="center"/>
    </xf>
    <xf borderId="35" fillId="0" fontId="3" numFmtId="0" xfId="0" applyAlignment="1" applyBorder="1" applyFont="1">
      <alignment horizontal="right" vertical="center"/>
    </xf>
    <xf borderId="0" fillId="0" fontId="3" numFmtId="1" xfId="0" applyAlignment="1" applyFont="1" applyNumberFormat="1">
      <alignment horizontal="right" vertical="center"/>
    </xf>
    <xf borderId="35" fillId="0" fontId="3" numFmtId="172" xfId="0" applyAlignment="1" applyBorder="1" applyFont="1" applyNumberFormat="1">
      <alignment horizontal="right" vertical="center"/>
    </xf>
    <xf borderId="36" fillId="7" fontId="3" numFmtId="1" xfId="0" applyAlignment="1" applyBorder="1" applyFont="1" applyNumberFormat="1">
      <alignment horizontal="right" vertical="center"/>
    </xf>
    <xf borderId="51" fillId="7" fontId="44" numFmtId="0" xfId="0" applyAlignment="1" applyBorder="1" applyFont="1">
      <alignment vertical="center"/>
    </xf>
    <xf borderId="51" fillId="7" fontId="44" numFmtId="0" xfId="0" applyAlignment="1" applyBorder="1" applyFont="1">
      <alignment horizontal="center" vertical="center"/>
    </xf>
    <xf borderId="51" fillId="7" fontId="44" numFmtId="172" xfId="0" applyAlignment="1" applyBorder="1" applyFont="1" applyNumberFormat="1">
      <alignment horizontal="right" vertical="center"/>
    </xf>
    <xf borderId="51" fillId="7" fontId="44" numFmtId="1" xfId="0" applyAlignment="1" applyBorder="1" applyFont="1" applyNumberFormat="1">
      <alignment horizontal="right" vertical="center"/>
    </xf>
    <xf borderId="15" fillId="0" fontId="1" numFmtId="0" xfId="0" applyBorder="1" applyFont="1"/>
    <xf borderId="16" fillId="0" fontId="1" numFmtId="166" xfId="0" applyBorder="1" applyFont="1" applyNumberFormat="1"/>
    <xf borderId="17" fillId="0" fontId="1" numFmtId="166" xfId="0" applyBorder="1" applyFont="1" applyNumberFormat="1"/>
    <xf borderId="42" fillId="0" fontId="1" numFmtId="166" xfId="0" applyBorder="1" applyFont="1" applyNumberFormat="1"/>
    <xf borderId="0" fillId="0" fontId="1" numFmtId="164" xfId="0" applyFont="1" applyNumberFormat="1"/>
    <xf borderId="52" fillId="7" fontId="1" numFmtId="0" xfId="0" applyAlignment="1" applyBorder="1" applyFont="1">
      <alignment horizontal="center" vertical="center"/>
    </xf>
    <xf borderId="52" fillId="7" fontId="1" numFmtId="0" xfId="0" applyAlignment="1" applyBorder="1" applyFont="1">
      <alignment horizontal="center"/>
    </xf>
    <xf borderId="53" fillId="0" fontId="1" numFmtId="0" xfId="0" applyAlignment="1" applyBorder="1" applyFont="1">
      <alignment horizontal="center" vertical="center"/>
    </xf>
    <xf borderId="53" fillId="0" fontId="1" numFmtId="172" xfId="0" applyAlignment="1" applyBorder="1" applyFont="1" applyNumberFormat="1">
      <alignment horizontal="center"/>
    </xf>
    <xf borderId="18" fillId="5" fontId="1" numFmtId="172" xfId="0" applyBorder="1" applyFont="1" applyNumberFormat="1"/>
    <xf borderId="54" fillId="0" fontId="1" numFmtId="0" xfId="0" applyAlignment="1" applyBorder="1" applyFont="1">
      <alignment horizontal="center" vertical="center"/>
    </xf>
    <xf borderId="54" fillId="0" fontId="1" numFmtId="172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54" fillId="0" fontId="8" numFmtId="0" xfId="0" applyAlignment="1" applyBorder="1" applyFont="1">
      <alignment horizontal="center"/>
    </xf>
    <xf borderId="54" fillId="0" fontId="8" numFmtId="1" xfId="0" applyAlignment="1" applyBorder="1" applyFont="1" applyNumberFormat="1">
      <alignment horizontal="center"/>
    </xf>
    <xf borderId="18" fillId="2" fontId="10" numFmtId="0" xfId="0" applyBorder="1" applyFont="1"/>
    <xf borderId="16" fillId="0" fontId="1" numFmtId="1" xfId="0" applyBorder="1" applyFont="1" applyNumberFormat="1"/>
    <xf borderId="33" fillId="15" fontId="11" numFmtId="0" xfId="0" applyBorder="1" applyFill="1" applyFont="1"/>
    <xf borderId="33" fillId="15" fontId="11" numFmtId="0" xfId="0" applyAlignment="1" applyBorder="1" applyFont="1">
      <alignment horizontal="center"/>
    </xf>
    <xf borderId="33" fillId="15" fontId="11" numFmtId="1" xfId="0" applyBorder="1" applyFont="1" applyNumberFormat="1"/>
    <xf borderId="51" fillId="7" fontId="44" numFmtId="3" xfId="0" applyAlignment="1" applyBorder="1" applyFont="1" applyNumberFormat="1">
      <alignment vertical="center"/>
    </xf>
    <xf borderId="15" fillId="0" fontId="24" numFmtId="0" xfId="0" applyBorder="1" applyFont="1"/>
    <xf borderId="16" fillId="0" fontId="8" numFmtId="0" xfId="0" applyBorder="1" applyFont="1"/>
    <xf borderId="16" fillId="0" fontId="24" numFmtId="166" xfId="0" applyAlignment="1" applyBorder="1" applyFont="1" applyNumberFormat="1">
      <alignment horizontal="right"/>
    </xf>
    <xf borderId="16" fillId="0" fontId="3" numFmtId="166" xfId="0" applyAlignment="1" applyBorder="1" applyFont="1" applyNumberFormat="1">
      <alignment vertical="center"/>
    </xf>
    <xf borderId="16" fillId="0" fontId="24" numFmtId="0" xfId="0" applyAlignment="1" applyBorder="1" applyFont="1">
      <alignment horizontal="center"/>
    </xf>
    <xf borderId="16" fillId="0" fontId="8" numFmtId="166" xfId="0" applyBorder="1" applyFont="1" applyNumberFormat="1"/>
    <xf borderId="17" fillId="0" fontId="3" numFmtId="166" xfId="0" applyAlignment="1" applyBorder="1" applyFont="1" applyNumberFormat="1">
      <alignment vertical="center"/>
    </xf>
    <xf borderId="55" fillId="0" fontId="45" numFmtId="0" xfId="0" applyBorder="1" applyFont="1"/>
    <xf borderId="55" fillId="0" fontId="8" numFmtId="0" xfId="0" applyBorder="1" applyFont="1"/>
    <xf borderId="0" fillId="0" fontId="24" numFmtId="0" xfId="0" applyFont="1"/>
    <xf borderId="42" fillId="0" fontId="24" numFmtId="166" xfId="0" applyAlignment="1" applyBorder="1" applyFont="1" applyNumberFormat="1">
      <alignment horizontal="center"/>
    </xf>
    <xf borderId="0" fillId="0" fontId="24" numFmtId="0" xfId="0" applyAlignment="1" applyFont="1">
      <alignment horizontal="center"/>
    </xf>
    <xf borderId="0" fillId="0" fontId="6" numFmtId="179" xfId="0" applyAlignment="1" applyFont="1" applyNumberFormat="1">
      <alignment horizontal="right"/>
    </xf>
    <xf borderId="18" fillId="7" fontId="24" numFmtId="174" xfId="0" applyAlignment="1" applyBorder="1" applyFont="1" applyNumberFormat="1">
      <alignment vertical="center"/>
    </xf>
    <xf borderId="0" fillId="0" fontId="8" numFmtId="174" xfId="0" applyFont="1" applyNumberFormat="1"/>
    <xf borderId="18" fillId="7" fontId="24" numFmtId="174" xfId="0" applyAlignment="1" applyBorder="1" applyFont="1" applyNumberFormat="1">
      <alignment horizontal="right"/>
    </xf>
    <xf borderId="52" fillId="7" fontId="24" numFmtId="0" xfId="0" applyAlignment="1" applyBorder="1" applyFont="1">
      <alignment horizontal="center"/>
    </xf>
    <xf borderId="53" fillId="0" fontId="24" numFmtId="0" xfId="0" applyAlignment="1" applyBorder="1" applyFont="1">
      <alignment horizontal="center"/>
    </xf>
    <xf borderId="53" fillId="0" fontId="24" numFmtId="174" xfId="0" applyAlignment="1" applyBorder="1" applyFont="1" applyNumberFormat="1">
      <alignment horizontal="center"/>
    </xf>
    <xf borderId="49" fillId="7" fontId="24" numFmtId="174" xfId="0" applyAlignment="1" applyBorder="1" applyFont="1" applyNumberFormat="1">
      <alignment horizontal="right"/>
    </xf>
    <xf borderId="36" fillId="7" fontId="24" numFmtId="174" xfId="0" applyAlignment="1" applyBorder="1" applyFont="1" applyNumberFormat="1">
      <alignment horizontal="right"/>
    </xf>
    <xf borderId="50" fillId="7" fontId="24" numFmtId="174" xfId="0" applyAlignment="1" applyBorder="1" applyFont="1" applyNumberFormat="1">
      <alignment horizontal="right"/>
    </xf>
    <xf borderId="46" fillId="16" fontId="8" numFmtId="174" xfId="0" applyBorder="1" applyFill="1" applyFont="1" applyNumberFormat="1"/>
    <xf borderId="45" fillId="7" fontId="24" numFmtId="174" xfId="0" applyAlignment="1" applyBorder="1" applyFont="1" applyNumberFormat="1">
      <alignment horizontal="right"/>
    </xf>
    <xf borderId="18" fillId="16" fontId="8" numFmtId="174" xfId="0" applyBorder="1" applyFont="1" applyNumberFormat="1"/>
    <xf borderId="54" fillId="0" fontId="24" numFmtId="0" xfId="0" applyAlignment="1" applyBorder="1" applyFont="1">
      <alignment horizontal="center"/>
    </xf>
    <xf borderId="54" fillId="0" fontId="24" numFmtId="174" xfId="0" applyAlignment="1" applyBorder="1" applyFont="1" applyNumberFormat="1">
      <alignment horizontal="center"/>
    </xf>
    <xf borderId="47" fillId="16" fontId="8" numFmtId="174" xfId="0" applyBorder="1" applyFont="1" applyNumberFormat="1"/>
    <xf borderId="34" fillId="16" fontId="8" numFmtId="174" xfId="0" applyBorder="1" applyFont="1" applyNumberFormat="1"/>
    <xf borderId="48" fillId="7" fontId="24" numFmtId="174" xfId="0" applyAlignment="1" applyBorder="1" applyFont="1" applyNumberFormat="1">
      <alignment horizontal="right"/>
    </xf>
    <xf borderId="33" fillId="15" fontId="1" numFmtId="0" xfId="0" applyBorder="1" applyFont="1"/>
    <xf borderId="33" fillId="15" fontId="1" numFmtId="0" xfId="0" applyAlignment="1" applyBorder="1" applyFont="1">
      <alignment horizontal="center"/>
    </xf>
    <xf borderId="33" fillId="15" fontId="1" numFmtId="1" xfId="0" applyBorder="1" applyFont="1" applyNumberFormat="1"/>
    <xf borderId="16" fillId="0" fontId="8" numFmtId="10" xfId="0" applyBorder="1" applyFont="1" applyNumberFormat="1"/>
    <xf borderId="0" fillId="0" fontId="1" numFmtId="0" xfId="0" applyAlignment="1" applyFont="1">
      <alignment horizontal="right"/>
    </xf>
    <xf borderId="0" fillId="0" fontId="8" numFmtId="3" xfId="0" applyFont="1" applyNumberFormat="1"/>
    <xf borderId="18" fillId="4" fontId="13" numFmtId="0" xfId="0" applyBorder="1" applyFont="1"/>
    <xf borderId="18" fillId="2" fontId="23" numFmtId="0" xfId="0" applyBorder="1" applyFont="1"/>
    <xf borderId="0" fillId="0" fontId="1" numFmtId="0" xfId="0" applyAlignment="1" applyFont="1">
      <alignment shrinkToFit="0" wrapText="1"/>
    </xf>
    <xf borderId="18" fillId="15" fontId="46" numFmtId="0" xfId="0" applyBorder="1" applyFont="1"/>
    <xf borderId="18" fillId="15" fontId="47" numFmtId="0" xfId="0" applyBorder="1" applyFont="1"/>
    <xf borderId="18" fillId="15" fontId="1" numFmtId="0" xfId="0" applyBorder="1" applyFont="1"/>
    <xf borderId="18" fillId="15" fontId="1" numFmtId="0" xfId="0" applyAlignment="1" applyBorder="1" applyFont="1">
      <alignment shrinkToFit="0" wrapText="1"/>
    </xf>
    <xf borderId="18" fillId="15" fontId="48" numFmtId="0" xfId="0" applyBorder="1" applyFont="1"/>
    <xf borderId="18" fillId="15" fontId="11" numFmtId="0" xfId="0" applyBorder="1" applyFont="1"/>
    <xf borderId="18" fillId="15" fontId="10" numFmtId="0" xfId="0" applyBorder="1" applyFont="1"/>
    <xf borderId="6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0" fillId="0" fontId="1" numFmtId="180" xfId="0" applyAlignment="1" applyFont="1" applyNumberFormat="1">
      <alignment horizontal="center" shrinkToFit="0" wrapText="1"/>
    </xf>
    <xf borderId="0" fillId="0" fontId="1" numFmtId="3" xfId="0" applyAlignment="1" applyFont="1" applyNumberFormat="1">
      <alignment horizontal="center"/>
    </xf>
    <xf borderId="0" fillId="0" fontId="1" numFmtId="180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0" numFmtId="0" xfId="0" applyFont="1"/>
    <xf borderId="0" fillId="0" fontId="30" numFmtId="166" xfId="0" applyFont="1" applyNumberFormat="1"/>
    <xf borderId="0" fillId="0" fontId="34" numFmtId="166" xfId="0" applyFont="1" applyNumberFormat="1"/>
    <xf borderId="0" fillId="0" fontId="1" numFmtId="0" xfId="0" applyAlignment="1" applyFont="1">
      <alignment horizontal="center" shrinkToFit="0" wrapText="1"/>
    </xf>
    <xf borderId="42" fillId="15" fontId="1" numFmtId="166" xfId="0" applyBorder="1" applyFont="1" applyNumberFormat="1"/>
    <xf borderId="35" fillId="0" fontId="1" numFmtId="180" xfId="0" applyAlignment="1" applyBorder="1" applyFont="1" applyNumberFormat="1">
      <alignment horizontal="center" shrinkToFit="0" wrapText="1"/>
    </xf>
    <xf borderId="35" fillId="0" fontId="1" numFmtId="1" xfId="0" applyAlignment="1" applyBorder="1" applyFont="1" applyNumberFormat="1">
      <alignment horizontal="center"/>
    </xf>
    <xf borderId="35" fillId="0" fontId="1" numFmtId="3" xfId="0" applyAlignment="1" applyBorder="1" applyFont="1" applyNumberFormat="1">
      <alignment horizontal="center"/>
    </xf>
    <xf borderId="35" fillId="0" fontId="1" numFmtId="166" xfId="0" applyAlignment="1" applyBorder="1" applyFont="1" applyNumberFormat="1">
      <alignment horizontal="center"/>
    </xf>
    <xf borderId="35" fillId="0" fontId="1" numFmtId="9" xfId="0" applyAlignment="1" applyBorder="1" applyFont="1" applyNumberFormat="1">
      <alignment horizontal="center"/>
    </xf>
    <xf borderId="30" fillId="0" fontId="1" numFmtId="180" xfId="0" applyAlignment="1" applyBorder="1" applyFont="1" applyNumberFormat="1">
      <alignment horizontal="center"/>
    </xf>
    <xf borderId="6" fillId="0" fontId="1" numFmtId="180" xfId="0" applyAlignment="1" applyBorder="1" applyFont="1" applyNumberFormat="1">
      <alignment horizontal="center" shrinkToFit="0" wrapText="1"/>
    </xf>
    <xf borderId="6" fillId="0" fontId="1" numFmtId="1" xfId="0" applyAlignment="1" applyBorder="1" applyFont="1" applyNumberFormat="1">
      <alignment horizontal="center"/>
    </xf>
    <xf borderId="6" fillId="0" fontId="1" numFmtId="3" xfId="0" applyAlignment="1" applyBorder="1" applyFont="1" applyNumberFormat="1">
      <alignment horizontal="center"/>
    </xf>
    <xf borderId="6" fillId="0" fontId="1" numFmtId="166" xfId="0" applyAlignment="1" applyBorder="1" applyFont="1" applyNumberFormat="1">
      <alignment horizontal="center"/>
    </xf>
    <xf borderId="6" fillId="0" fontId="1" numFmtId="9" xfId="0" applyAlignment="1" applyBorder="1" applyFont="1" applyNumberFormat="1">
      <alignment horizontal="center"/>
    </xf>
    <xf borderId="39" fillId="0" fontId="1" numFmtId="180" xfId="0" applyAlignment="1" applyBorder="1" applyFont="1" applyNumberFormat="1">
      <alignment horizontal="center"/>
    </xf>
    <xf borderId="17" fillId="0" fontId="34" numFmtId="180" xfId="0" applyAlignment="1" applyBorder="1" applyFont="1" applyNumberFormat="1">
      <alignment horizontal="center"/>
    </xf>
    <xf borderId="18" fillId="15" fontId="11" numFmtId="0" xfId="0" applyAlignment="1" applyBorder="1" applyFont="1">
      <alignment shrinkToFit="0" wrapText="1"/>
    </xf>
    <xf borderId="0" fillId="0" fontId="1" numFmtId="170" xfId="0" applyFont="1" applyNumberFormat="1"/>
    <xf borderId="6" fillId="0" fontId="11" numFmtId="0" xfId="0" applyAlignment="1" applyBorder="1" applyFont="1">
      <alignment horizontal="center"/>
    </xf>
    <xf borderId="6" fillId="0" fontId="12" numFmtId="0" xfId="0" applyBorder="1" applyFont="1"/>
    <xf borderId="32" fillId="0" fontId="11" numFmtId="0" xfId="0" applyAlignment="1" applyBorder="1" applyFont="1">
      <alignment horizontal="right" textRotation="90" vertical="center"/>
    </xf>
    <xf borderId="42" fillId="15" fontId="11" numFmtId="166" xfId="0" applyAlignment="1" applyBorder="1" applyFont="1" applyNumberFormat="1">
      <alignment horizontal="center" shrinkToFit="0" wrapText="1"/>
    </xf>
    <xf borderId="33" fillId="7" fontId="1" numFmtId="166" xfId="0" applyAlignment="1" applyBorder="1" applyFont="1" applyNumberFormat="1">
      <alignment horizontal="center"/>
    </xf>
    <xf borderId="56" fillId="7" fontId="1" numFmtId="166" xfId="0" applyAlignment="1" applyBorder="1" applyFont="1" applyNumberFormat="1">
      <alignment horizontal="center"/>
    </xf>
    <xf borderId="32" fillId="0" fontId="12" numFmtId="0" xfId="0" applyBorder="1" applyFont="1"/>
    <xf borderId="52" fillId="7" fontId="1" numFmtId="166" xfId="0" applyAlignment="1" applyBorder="1" applyFont="1" applyNumberFormat="1">
      <alignment horizontal="center" shrinkToFit="0" wrapText="1"/>
    </xf>
    <xf borderId="57" fillId="7" fontId="1" numFmtId="166" xfId="0" applyAlignment="1" applyBorder="1" applyFont="1" applyNumberFormat="1">
      <alignment horizontal="center" shrinkToFit="0" wrapText="1"/>
    </xf>
    <xf borderId="18" fillId="7" fontId="1" numFmtId="10" xfId="0" applyAlignment="1" applyBorder="1" applyFont="1" applyNumberFormat="1">
      <alignment horizontal="center"/>
    </xf>
    <xf borderId="18" fillId="15" fontId="11" numFmtId="10" xfId="0" applyAlignment="1" applyBorder="1" applyFont="1" applyNumberFormat="1">
      <alignment horizontal="center"/>
    </xf>
    <xf borderId="58" fillId="7" fontId="1" numFmtId="166" xfId="0" applyAlignment="1" applyBorder="1" applyFont="1" applyNumberFormat="1">
      <alignment horizontal="center" shrinkToFit="0" wrapText="1"/>
    </xf>
    <xf borderId="6" fillId="0" fontId="1" numFmtId="0" xfId="0" applyAlignment="1" applyBorder="1" applyFont="1">
      <alignment shrinkToFit="0" wrapText="1"/>
    </xf>
    <xf borderId="17" fillId="0" fontId="1" numFmtId="10" xfId="0" applyBorder="1" applyFont="1" applyNumberFormat="1"/>
    <xf borderId="15" fillId="0" fontId="10" numFmtId="0" xfId="0" applyAlignment="1" applyBorder="1" applyFont="1">
      <alignment horizontal="center"/>
    </xf>
    <xf borderId="16" fillId="0" fontId="10" numFmtId="0" xfId="0" applyAlignment="1" applyBorder="1" applyFont="1">
      <alignment horizontal="center"/>
    </xf>
    <xf borderId="17" fillId="0" fontId="10" numFmtId="0" xfId="0" applyAlignment="1" applyBorder="1" applyFont="1">
      <alignment horizontal="center"/>
    </xf>
    <xf borderId="29" fillId="0" fontId="1" numFmtId="0" xfId="0" applyAlignment="1" applyBorder="1" applyFont="1">
      <alignment horizontal="center"/>
    </xf>
    <xf borderId="35" fillId="0" fontId="1" numFmtId="170" xfId="0" applyAlignment="1" applyBorder="1" applyFont="1" applyNumberFormat="1">
      <alignment horizontal="center"/>
    </xf>
    <xf borderId="30" fillId="0" fontId="1" numFmtId="3" xfId="0" applyAlignment="1" applyBorder="1" applyFont="1" applyNumberFormat="1">
      <alignment horizontal="center"/>
    </xf>
    <xf borderId="31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32" fillId="0" fontId="1" numFmtId="3" xfId="0" applyAlignment="1" applyBorder="1" applyFont="1" applyNumberFormat="1">
      <alignment horizontal="center"/>
    </xf>
    <xf borderId="38" fillId="0" fontId="1" numFmtId="0" xfId="0" applyAlignment="1" applyBorder="1" applyFont="1">
      <alignment horizontal="center"/>
    </xf>
    <xf borderId="6" fillId="0" fontId="1" numFmtId="170" xfId="0" applyAlignment="1" applyBorder="1" applyFont="1" applyNumberFormat="1">
      <alignment horizontal="center"/>
    </xf>
    <xf borderId="39" fillId="0" fontId="1" numFmtId="3" xfId="0" applyAlignment="1" applyBorder="1" applyFont="1" applyNumberFormat="1">
      <alignment horizontal="center"/>
    </xf>
    <xf borderId="18" fillId="7" fontId="8" numFmtId="170" xfId="0" applyBorder="1" applyFont="1" applyNumberFormat="1"/>
    <xf borderId="15" fillId="0" fontId="11" numFmtId="0" xfId="0" applyAlignment="1" applyBorder="1" applyFont="1">
      <alignment horizontal="center"/>
    </xf>
    <xf borderId="0" fillId="0" fontId="49" numFmtId="0" xfId="0" applyAlignment="1" applyFont="1">
      <alignment horizontal="center"/>
    </xf>
    <xf borderId="34" fillId="15" fontId="11" numFmtId="0" xfId="0" applyBorder="1" applyFont="1"/>
    <xf borderId="0" fillId="0" fontId="45" numFmtId="0" xfId="0" applyAlignment="1" applyFont="1">
      <alignment horizontal="center" vertical="center"/>
    </xf>
    <xf borderId="45" fillId="15" fontId="11" numFmtId="0" xfId="0" applyBorder="1" applyFont="1"/>
    <xf borderId="18" fillId="12" fontId="11" numFmtId="0" xfId="0" applyBorder="1" applyFont="1"/>
    <xf borderId="0" fillId="0" fontId="16" numFmtId="1" xfId="0" applyFont="1" applyNumberFormat="1"/>
    <xf borderId="32" fillId="0" fontId="16" numFmtId="1" xfId="0" applyBorder="1" applyFont="1" applyNumberFormat="1"/>
    <xf borderId="32" fillId="0" fontId="1" numFmtId="9" xfId="0" applyBorder="1" applyFont="1" applyNumberFormat="1"/>
    <xf borderId="32" fillId="0" fontId="11" numFmtId="1" xfId="0" applyBorder="1" applyFont="1" applyNumberFormat="1"/>
    <xf borderId="42" fillId="0" fontId="34" numFmtId="10" xfId="0" applyAlignment="1" applyBorder="1" applyFont="1" applyNumberFormat="1">
      <alignment horizontal="center"/>
    </xf>
    <xf borderId="32" fillId="0" fontId="1" numFmtId="1" xfId="0" applyBorder="1" applyFont="1" applyNumberFormat="1"/>
    <xf borderId="6" fillId="0" fontId="16" numFmtId="1" xfId="0" applyBorder="1" applyFont="1" applyNumberFormat="1"/>
    <xf borderId="39" fillId="0" fontId="16" numFmtId="1" xfId="0" applyBorder="1" applyFont="1" applyNumberFormat="1"/>
    <xf borderId="42" fillId="0" fontId="16" numFmtId="10" xfId="0" applyAlignment="1" applyBorder="1" applyFont="1" applyNumberFormat="1">
      <alignment horizontal="center"/>
    </xf>
    <xf borderId="18" fillId="15" fontId="11" numFmtId="1" xfId="0" applyBorder="1" applyFont="1" applyNumberFormat="1"/>
    <xf borderId="6" fillId="0" fontId="11" numFmtId="0" xfId="0" applyBorder="1" applyFont="1"/>
    <xf borderId="18" fillId="5" fontId="28" numFmtId="1" xfId="0" applyBorder="1" applyFont="1" applyNumberFormat="1"/>
    <xf borderId="6" fillId="0" fontId="1" numFmtId="2" xfId="0" applyBorder="1" applyFont="1" applyNumberFormat="1"/>
    <xf borderId="59" fillId="5" fontId="23" numFmtId="0" xfId="0" applyAlignment="1" applyBorder="1" applyFont="1">
      <alignment horizontal="center"/>
    </xf>
    <xf borderId="60" fillId="0" fontId="12" numFmtId="0" xfId="0" applyBorder="1" applyFont="1"/>
    <xf borderId="61" fillId="0" fontId="12" numFmtId="0" xfId="0" applyBorder="1" applyFont="1"/>
    <xf borderId="18" fillId="5" fontId="28" numFmtId="170" xfId="0" applyBorder="1" applyFont="1" applyNumberFormat="1"/>
    <xf borderId="59" fillId="5" fontId="50" numFmtId="0" xfId="0" applyAlignment="1" applyBorder="1" applyFont="1">
      <alignment horizontal="center"/>
    </xf>
    <xf borderId="62" fillId="2" fontId="10" numFmtId="0" xfId="0" applyAlignment="1" applyBorder="1" applyFont="1">
      <alignment horizontal="center"/>
    </xf>
    <xf borderId="63" fillId="0" fontId="12" numFmtId="0" xfId="0" applyBorder="1" applyFont="1"/>
    <xf borderId="64" fillId="0" fontId="12" numFmtId="0" xfId="0" applyBorder="1" applyFont="1"/>
    <xf borderId="32" fillId="0" fontId="1" numFmtId="0" xfId="0" applyAlignment="1" applyBorder="1" applyFont="1">
      <alignment horizontal="right" shrinkToFit="0" textRotation="90" vertical="center" wrapText="1"/>
    </xf>
    <xf borderId="42" fillId="5" fontId="28" numFmtId="1" xfId="0" applyAlignment="1" applyBorder="1" applyFont="1" applyNumberFormat="1">
      <alignment horizontal="center"/>
    </xf>
    <xf borderId="16" fillId="0" fontId="1" numFmtId="170" xfId="0" applyAlignment="1" applyBorder="1" applyFont="1" applyNumberFormat="1">
      <alignment horizontal="center"/>
    </xf>
    <xf borderId="0" fillId="0" fontId="1" numFmtId="0" xfId="0" applyAlignment="1" applyFont="1">
      <alignment horizontal="right" textRotation="90" vertical="center"/>
    </xf>
    <xf borderId="16" fillId="0" fontId="1" numFmtId="172" xfId="0" applyAlignment="1" applyBorder="1" applyFont="1" applyNumberFormat="1">
      <alignment horizontal="center"/>
    </xf>
    <xf borderId="53" fillId="0" fontId="1" numFmtId="166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8" fillId="11" fontId="1" numFmtId="1" xfId="0" applyAlignment="1" applyBorder="1" applyFont="1" applyNumberFormat="1">
      <alignment horizontal="center"/>
    </xf>
    <xf borderId="18" fillId="5" fontId="38" numFmtId="1" xfId="0" applyAlignment="1" applyBorder="1" applyFont="1" applyNumberFormat="1">
      <alignment horizontal="center"/>
    </xf>
    <xf borderId="18" fillId="5" fontId="23" numFmtId="1" xfId="0" applyAlignment="1" applyBorder="1" applyFont="1" applyNumberFormat="1">
      <alignment horizontal="center"/>
    </xf>
    <xf borderId="65" fillId="0" fontId="1" numFmtId="0" xfId="0" applyAlignment="1" applyBorder="1" applyFont="1">
      <alignment horizontal="center"/>
    </xf>
    <xf borderId="53" fillId="0" fontId="1" numFmtId="1" xfId="0" applyAlignment="1" applyBorder="1" applyFont="1" applyNumberFormat="1">
      <alignment horizontal="center"/>
    </xf>
    <xf borderId="54" fillId="0" fontId="1" numFmtId="1" xfId="0" applyAlignment="1" applyBorder="1" applyFont="1" applyNumberFormat="1">
      <alignment horizontal="center"/>
    </xf>
    <xf borderId="0" fillId="0" fontId="1" numFmtId="181" xfId="0" applyAlignment="1" applyFont="1" applyNumberFormat="1">
      <alignment horizontal="center" vertical="center"/>
    </xf>
    <xf borderId="0" fillId="0" fontId="1" numFmtId="1" xfId="0" applyAlignment="1" applyFont="1" applyNumberFormat="1">
      <alignment vertical="center"/>
    </xf>
    <xf borderId="0" fillId="0" fontId="1" numFmtId="181" xfId="0" applyAlignment="1" applyFont="1" applyNumberFormat="1">
      <alignment vertical="center"/>
    </xf>
    <xf borderId="18" fillId="6" fontId="28" numFmtId="0" xfId="0" applyBorder="1" applyFont="1"/>
    <xf borderId="18" fillId="9" fontId="1" numFmtId="166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'Valoración'!$C$56:$C$59</c:f>
            </c:strRef>
          </c:cat>
          <c:val>
            <c:numRef>
              <c:f>'Valoración'!$D$56:$D$59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'Valoración'!$C$56:$C$59</c:f>
            </c:strRef>
          </c:cat>
          <c:val>
            <c:numRef>
              <c:f>'Valoración'!$E$56:$E$59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'Valoración'!$C$56:$C$59</c:f>
            </c:strRef>
          </c:cat>
          <c:val>
            <c:numRef>
              <c:f>'Valoración'!$F$56:$F$59</c:f>
              <c:numCache/>
            </c:numRef>
          </c:val>
        </c:ser>
        <c:ser>
          <c:idx val="3"/>
          <c:order val="3"/>
          <c:cat>
            <c:strRef>
              <c:f>'Valoración'!$C$56:$C$59</c:f>
            </c:strRef>
          </c:cat>
          <c:val>
            <c:numRef>
              <c:f>'Valoración'!$G$56:$G$59</c:f>
              <c:numCache/>
            </c:numRef>
          </c:val>
        </c:ser>
        <c:overlap val="100"/>
        <c:axId val="389507971"/>
        <c:axId val="2073839265"/>
      </c:barChart>
      <c:catAx>
        <c:axId val="3895079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3839265"/>
      </c:catAx>
      <c:valAx>
        <c:axId val="2073839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9507971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Zinc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'Gráficos'!$C$3:$G$3</c:f>
            </c:strRef>
          </c:cat>
          <c:val>
            <c:numRef>
              <c:f>'Gráficos'!$C$4:$G$4</c:f>
              <c:numCache/>
            </c:numRef>
          </c:val>
        </c:ser>
        <c:ser>
          <c:idx val="1"/>
          <c:order val="1"/>
          <c:tx>
            <c:v>Plomo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'Gráficos'!$C$3:$G$3</c:f>
            </c:strRef>
          </c:cat>
          <c:val>
            <c:numRef>
              <c:f>'Gráficos'!$C$5:$G$5</c:f>
              <c:numCache/>
            </c:numRef>
          </c:val>
        </c:ser>
        <c:ser>
          <c:idx val="2"/>
          <c:order val="2"/>
          <c:tx>
            <c:v>Cobre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'Gráficos'!$C$3:$G$3</c:f>
            </c:strRef>
          </c:cat>
          <c:val>
            <c:numRef>
              <c:f>'Gráficos'!$C$6:$G$6</c:f>
              <c:numCache/>
            </c:numRef>
          </c:val>
        </c:ser>
        <c:ser>
          <c:idx val="3"/>
          <c:order val="3"/>
          <c:tx>
            <c:v>Plata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'Gráficos'!$C$3:$G$3</c:f>
            </c:strRef>
          </c:cat>
          <c:val>
            <c:numRef>
              <c:f>'Gráficos'!$C$7:$G$7</c:f>
              <c:numCache/>
            </c:numRef>
          </c:val>
        </c:ser>
        <c:ser>
          <c:idx val="4"/>
          <c:order val="4"/>
          <c:tx>
            <c:v>Oro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cat>
            <c:strRef>
              <c:f>'Gráficos'!$C$3:$G$3</c:f>
            </c:strRef>
          </c:cat>
          <c:val>
            <c:numRef>
              <c:f>'Gráficos'!$C$8:$G$8</c:f>
              <c:numCache/>
            </c:numRef>
          </c:val>
        </c:ser>
        <c:ser>
          <c:idx val="5"/>
          <c:order val="5"/>
          <c:tx>
            <c:v>Escorias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'Gráficos'!$C$3:$G$3</c:f>
            </c:strRef>
          </c:cat>
          <c:val>
            <c:numRef>
              <c:f>'Gráficos'!$C$9:$G$9</c:f>
              <c:numCache/>
            </c:numRef>
          </c:val>
        </c:ser>
        <c:ser>
          <c:idx val="6"/>
          <c:order val="6"/>
          <c:tx>
            <c:v>Ventas Netas</c:v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'Gráficos'!$C$3:$G$3</c:f>
            </c:strRef>
          </c:cat>
          <c:val>
            <c:numRef>
              <c:f>'Gráficos'!$C$12:$G$12</c:f>
              <c:numCache/>
            </c:numRef>
          </c:val>
        </c:ser>
        <c:overlap val="100"/>
        <c:axId val="1404171384"/>
        <c:axId val="753123096"/>
      </c:barChart>
      <c:lineChart>
        <c:varyColors val="0"/>
        <c:ser>
          <c:idx val="7"/>
          <c:order val="7"/>
          <c:tx>
            <c:v>Variación Anual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'Gráficos'!$C$3:$G$3</c:f>
            </c:strRef>
          </c:cat>
          <c:val>
            <c:numRef>
              <c:f>'Gráficos'!$C$13:$G$13</c:f>
              <c:numCache/>
            </c:numRef>
          </c:val>
          <c:smooth val="1"/>
        </c:ser>
        <c:axId val="1404171384"/>
        <c:axId val="753123096"/>
      </c:lineChart>
      <c:catAx>
        <c:axId val="1404171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3123096"/>
      </c:catAx>
      <c:valAx>
        <c:axId val="753123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417138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52400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2543175</xdr:colOff>
      <xdr:row>0</xdr:row>
      <xdr:rowOff>142875</xdr:rowOff>
    </xdr:from>
    <xdr:ext cx="1000125" cy="4381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000125" cy="4381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1533525</xdr:colOff>
      <xdr:row>0</xdr:row>
      <xdr:rowOff>66675</xdr:rowOff>
    </xdr:from>
    <xdr:ext cx="1000125" cy="4381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771525</xdr:colOff>
      <xdr:row>0</xdr:row>
      <xdr:rowOff>152400</xdr:rowOff>
    </xdr:from>
    <xdr:ext cx="1000125" cy="4381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49</xdr:row>
      <xdr:rowOff>76200</xdr:rowOff>
    </xdr:from>
    <xdr:ext cx="6057900" cy="3048000"/>
    <xdr:graphicFrame>
      <xdr:nvGraphicFramePr>
        <xdr:cNvPr id="7816367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14</xdr:row>
      <xdr:rowOff>95250</xdr:rowOff>
    </xdr:from>
    <xdr:ext cx="7810500" cy="3905250"/>
    <xdr:graphicFrame>
      <xdr:nvGraphicFramePr>
        <xdr:cNvPr id="38301860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User/Documents/CURSO%20DEMODELACION%20FINANCIERA/GOOD%20FINANCE/MINERA%20VOLCAN%20TRABAJO%20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rtada"/>
      <sheetName val="Integrantes"/>
      <sheetName val="EEFF"/>
      <sheetName val="Supuestos"/>
      <sheetName val="Análisis Financiero"/>
      <sheetName val="Gráfico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2.38"/>
    <col customWidth="1" min="3" max="3" width="20.0"/>
    <col customWidth="1" min="4" max="4" width="27.63"/>
    <col customWidth="1" min="10" max="10" width="2.5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5"/>
      <c r="C3" s="6"/>
      <c r="D3" s="1"/>
      <c r="E3" s="1"/>
      <c r="F3" s="1"/>
      <c r="G3" s="1"/>
      <c r="H3" s="1"/>
      <c r="I3" s="1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/>
      <c r="C4" s="8" t="s">
        <v>1</v>
      </c>
      <c r="D4" s="1"/>
      <c r="E4" s="1"/>
      <c r="F4" s="1"/>
      <c r="G4" s="1"/>
      <c r="H4" s="1"/>
      <c r="I4" s="1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/>
      <c r="C5" s="9" t="s">
        <v>2</v>
      </c>
      <c r="D5" s="10"/>
      <c r="E5" s="10"/>
      <c r="F5" s="10"/>
      <c r="G5" s="10"/>
      <c r="H5" s="10"/>
      <c r="I5" s="10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/>
      <c r="C6" s="1"/>
      <c r="D6" s="1"/>
      <c r="E6" s="1"/>
      <c r="F6" s="1"/>
      <c r="G6" s="1"/>
      <c r="H6" s="1"/>
      <c r="I6" s="1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5"/>
      <c r="C7" s="11" t="s">
        <v>3</v>
      </c>
      <c r="D7" s="1"/>
      <c r="E7" s="1"/>
      <c r="F7" s="1"/>
      <c r="G7" s="1"/>
      <c r="H7" s="1"/>
      <c r="I7" s="1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/>
      <c r="C8" s="12" t="s">
        <v>4</v>
      </c>
      <c r="D8" s="1" t="s">
        <v>5</v>
      </c>
      <c r="E8" s="1"/>
      <c r="F8" s="1"/>
      <c r="G8" s="1"/>
      <c r="H8" s="1"/>
      <c r="I8" s="1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/>
      <c r="C9" s="12" t="s">
        <v>6</v>
      </c>
      <c r="D9" s="1" t="s">
        <v>7</v>
      </c>
      <c r="E9" s="1"/>
      <c r="F9" s="1"/>
      <c r="G9" s="1"/>
      <c r="H9" s="1"/>
      <c r="I9" s="1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/>
      <c r="C10" s="12" t="s">
        <v>8</v>
      </c>
      <c r="D10" s="1" t="s">
        <v>9</v>
      </c>
      <c r="E10" s="1"/>
      <c r="F10" s="1"/>
      <c r="G10" s="1"/>
      <c r="H10" s="1"/>
      <c r="I10" s="1"/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/>
      <c r="C11" s="1"/>
      <c r="D11" s="13"/>
      <c r="E11" s="1"/>
      <c r="F11" s="1"/>
      <c r="G11" s="1"/>
      <c r="H11" s="1"/>
      <c r="I11" s="1"/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5"/>
      <c r="C12" s="11" t="s">
        <v>10</v>
      </c>
      <c r="D12" s="8"/>
      <c r="E12" s="1"/>
      <c r="F12" s="1"/>
      <c r="G12" s="1"/>
      <c r="H12" s="1"/>
      <c r="I12" s="1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/>
      <c r="C13" s="14" t="s">
        <v>11</v>
      </c>
      <c r="D13" s="15" t="s">
        <v>12</v>
      </c>
      <c r="E13" s="1"/>
      <c r="F13" s="1"/>
      <c r="G13" s="1"/>
      <c r="H13" s="1"/>
      <c r="I13" s="1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/>
      <c r="C14" s="16" t="s">
        <v>13</v>
      </c>
      <c r="D14" s="17" t="s">
        <v>14</v>
      </c>
      <c r="E14" s="1"/>
      <c r="F14" s="1"/>
      <c r="G14" s="1"/>
      <c r="H14" s="1"/>
      <c r="I14" s="1"/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/>
      <c r="C15" s="18" t="s">
        <v>15</v>
      </c>
      <c r="D15" s="19" t="s">
        <v>16</v>
      </c>
      <c r="E15" s="1"/>
      <c r="F15" s="1"/>
      <c r="G15" s="1"/>
      <c r="H15" s="1"/>
      <c r="I15" s="1"/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0"/>
      <c r="C16" s="21"/>
      <c r="D16" s="21"/>
      <c r="E16" s="21"/>
      <c r="F16" s="21"/>
      <c r="G16" s="21"/>
      <c r="H16" s="21"/>
      <c r="I16" s="21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hidden="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hidden="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hidden="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hidden="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hidden="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outlinePr summaryBelow="0" summaryRight="0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3.38"/>
    <col customWidth="1" min="2" max="2" width="71.75"/>
    <col customWidth="1" min="4" max="4" width="3.38"/>
    <col customWidth="1" min="5" max="7" width="11.38"/>
    <col customWidth="1" min="8" max="8" width="9.5"/>
    <col customWidth="1" min="9" max="9" width="11.38"/>
    <col customWidth="1" min="10" max="15" width="12.75"/>
    <col customWidth="1" min="16" max="16" width="4.25"/>
    <col customWidth="1" min="17" max="21" width="11.38"/>
    <col customWidth="1" min="22" max="22" width="4.63"/>
    <col customWidth="1" min="23" max="23" width="14.88"/>
    <col customWidth="1" min="24" max="24" width="13.88"/>
    <col customWidth="1" min="25" max="25" width="15.88"/>
    <col customWidth="1" min="26" max="26" width="15.75"/>
    <col customWidth="1" min="27" max="27" width="14.88"/>
    <col customWidth="1" min="28" max="28" width="12.25"/>
    <col customWidth="1" min="29" max="29" width="2.75"/>
  </cols>
  <sheetData>
    <row r="1" ht="15.75" customHeight="1">
      <c r="A1" s="23" t="s">
        <v>17</v>
      </c>
      <c r="B1" s="1"/>
      <c r="C1" s="24" t="s">
        <v>18</v>
      </c>
      <c r="D1" s="23"/>
      <c r="E1" s="25">
        <f t="shared" ref="E1:O1" si="1">ROUND(E53-E85,0)</f>
        <v>0</v>
      </c>
      <c r="F1" s="25">
        <f t="shared" si="1"/>
        <v>0</v>
      </c>
      <c r="G1" s="25">
        <f t="shared" si="1"/>
        <v>0</v>
      </c>
      <c r="H1" s="25">
        <f t="shared" si="1"/>
        <v>0</v>
      </c>
      <c r="I1" s="25">
        <f t="shared" si="1"/>
        <v>0</v>
      </c>
      <c r="J1" s="25">
        <f t="shared" si="1"/>
        <v>0</v>
      </c>
      <c r="K1" s="25">
        <f t="shared" si="1"/>
        <v>0</v>
      </c>
      <c r="L1" s="25">
        <f t="shared" si="1"/>
        <v>0</v>
      </c>
      <c r="M1" s="25">
        <f t="shared" si="1"/>
        <v>0</v>
      </c>
      <c r="N1" s="25">
        <f t="shared" si="1"/>
        <v>0</v>
      </c>
      <c r="O1" s="25">
        <f t="shared" si="1"/>
        <v>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5.75" customHeight="1">
      <c r="A2" s="23"/>
      <c r="B2" s="26" t="s">
        <v>2</v>
      </c>
      <c r="C2" s="23"/>
      <c r="D2" s="23"/>
      <c r="E2" s="27"/>
      <c r="F2" s="28"/>
      <c r="G2" s="28"/>
      <c r="H2" s="27"/>
      <c r="I2" s="27"/>
      <c r="J2" s="27"/>
      <c r="K2" s="27"/>
      <c r="L2" s="27"/>
      <c r="M2" s="27"/>
      <c r="N2" s="27"/>
      <c r="O2" s="27"/>
      <c r="P2" s="1"/>
      <c r="Q2" s="29" t="s">
        <v>19</v>
      </c>
      <c r="R2" s="30"/>
      <c r="S2" s="30"/>
      <c r="T2" s="30"/>
      <c r="U2" s="31"/>
      <c r="V2" s="1"/>
      <c r="W2" s="32" t="s">
        <v>20</v>
      </c>
      <c r="X2" s="33"/>
      <c r="Y2" s="33"/>
      <c r="Z2" s="33"/>
      <c r="AA2" s="34"/>
      <c r="AB2" s="35"/>
      <c r="AC2" s="1"/>
      <c r="AD2" s="1"/>
      <c r="AE2" s="1"/>
      <c r="AF2" s="1"/>
      <c r="AG2" s="1"/>
    </row>
    <row r="3" ht="15.75" customHeight="1">
      <c r="A3" s="23"/>
      <c r="B3" s="36" t="s">
        <v>21</v>
      </c>
      <c r="C3" s="23"/>
      <c r="D3" s="23"/>
      <c r="E3" s="37">
        <v>2019.0</v>
      </c>
      <c r="F3" s="37">
        <v>2020.0</v>
      </c>
      <c r="G3" s="37">
        <v>2021.0</v>
      </c>
      <c r="H3" s="37">
        <v>2022.0</v>
      </c>
      <c r="I3" s="37">
        <v>2023.0</v>
      </c>
      <c r="J3" s="37">
        <v>2024.0</v>
      </c>
      <c r="K3" s="38">
        <v>2025.0</v>
      </c>
      <c r="L3" s="38">
        <v>2026.0</v>
      </c>
      <c r="M3" s="38">
        <v>2027.0</v>
      </c>
      <c r="N3" s="38">
        <v>2028.0</v>
      </c>
      <c r="O3" s="38">
        <v>2029.0</v>
      </c>
      <c r="P3" s="39"/>
      <c r="Q3" s="40">
        <v>2020.0</v>
      </c>
      <c r="R3" s="41">
        <v>2021.0</v>
      </c>
      <c r="S3" s="41">
        <v>2022.0</v>
      </c>
      <c r="T3" s="41">
        <v>2023.0</v>
      </c>
      <c r="U3" s="42">
        <v>2024.0</v>
      </c>
      <c r="V3" s="1"/>
      <c r="W3" s="43" t="s">
        <v>22</v>
      </c>
      <c r="X3" s="44" t="s">
        <v>23</v>
      </c>
      <c r="Y3" s="44" t="s">
        <v>24</v>
      </c>
      <c r="Z3" s="44" t="s">
        <v>25</v>
      </c>
      <c r="AA3" s="45" t="s">
        <v>26</v>
      </c>
      <c r="AB3" s="46"/>
      <c r="AC3" s="1"/>
      <c r="AD3" s="47" t="s">
        <v>27</v>
      </c>
      <c r="AE3" s="48" t="s">
        <v>28</v>
      </c>
      <c r="AF3" s="1"/>
      <c r="AG3" s="1"/>
    </row>
    <row r="4" ht="15.75" customHeight="1">
      <c r="A4" s="23"/>
      <c r="B4" s="36"/>
      <c r="C4" s="49" t="s">
        <v>29</v>
      </c>
      <c r="D4" s="23"/>
      <c r="E4" s="50" t="s">
        <v>30</v>
      </c>
      <c r="F4" s="50" t="s">
        <v>30</v>
      </c>
      <c r="G4" s="50" t="s">
        <v>30</v>
      </c>
      <c r="H4" s="50" t="s">
        <v>30</v>
      </c>
      <c r="I4" s="50" t="s">
        <v>30</v>
      </c>
      <c r="J4" s="50" t="s">
        <v>30</v>
      </c>
      <c r="K4" s="50" t="s">
        <v>31</v>
      </c>
      <c r="L4" s="50" t="s">
        <v>31</v>
      </c>
      <c r="M4" s="50" t="s">
        <v>31</v>
      </c>
      <c r="N4" s="50" t="s">
        <v>31</v>
      </c>
      <c r="O4" s="50" t="s">
        <v>31</v>
      </c>
      <c r="P4" s="50"/>
      <c r="Q4" s="51" t="s">
        <v>32</v>
      </c>
      <c r="R4" s="52" t="s">
        <v>32</v>
      </c>
      <c r="S4" s="52" t="s">
        <v>32</v>
      </c>
      <c r="T4" s="52" t="s">
        <v>32</v>
      </c>
      <c r="U4" s="53" t="s">
        <v>32</v>
      </c>
      <c r="V4" s="1"/>
      <c r="W4" s="51" t="s">
        <v>32</v>
      </c>
      <c r="X4" s="52" t="s">
        <v>32</v>
      </c>
      <c r="Y4" s="52" t="s">
        <v>32</v>
      </c>
      <c r="Z4" s="52" t="s">
        <v>32</v>
      </c>
      <c r="AA4" s="53" t="s">
        <v>32</v>
      </c>
      <c r="AB4" s="54"/>
      <c r="AC4" s="1"/>
      <c r="AD4" s="55" t="s">
        <v>32</v>
      </c>
      <c r="AE4" s="56" t="s">
        <v>32</v>
      </c>
      <c r="AF4" s="1"/>
      <c r="AG4" s="1"/>
    </row>
    <row r="5" ht="15.75" customHeight="1">
      <c r="A5" s="23" t="s">
        <v>33</v>
      </c>
      <c r="B5" s="57" t="s">
        <v>34</v>
      </c>
      <c r="C5" s="58"/>
      <c r="D5" s="58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9"/>
      <c r="Q5" s="60"/>
      <c r="R5" s="61"/>
      <c r="S5" s="61"/>
      <c r="T5" s="61"/>
      <c r="U5" s="62"/>
      <c r="V5" s="1"/>
      <c r="W5" s="63"/>
      <c r="X5" s="64"/>
      <c r="Y5" s="64"/>
      <c r="Z5" s="64"/>
      <c r="AA5" s="62"/>
      <c r="AB5" s="1"/>
      <c r="AC5" s="1"/>
      <c r="AD5" s="63"/>
      <c r="AE5" s="62"/>
      <c r="AF5" s="1"/>
      <c r="AG5" s="1"/>
    </row>
    <row r="6" ht="15.75" customHeight="1">
      <c r="A6" s="23"/>
      <c r="B6" s="36" t="s">
        <v>35</v>
      </c>
      <c r="C6" s="23" t="s">
        <v>36</v>
      </c>
      <c r="D6" s="23"/>
      <c r="E6" s="65">
        <f>743578/1000</f>
        <v>743.578</v>
      </c>
      <c r="F6" s="65">
        <f>535469/1000</f>
        <v>535.469</v>
      </c>
      <c r="G6" s="65">
        <f>937399/1000</f>
        <v>937.399</v>
      </c>
      <c r="H6" s="65">
        <f>951266/1000</f>
        <v>951.266</v>
      </c>
      <c r="I6" s="66">
        <f>883086/1000</f>
        <v>883.086</v>
      </c>
      <c r="J6" s="65">
        <f>(960521/1000)</f>
        <v>960.521</v>
      </c>
      <c r="K6" s="67">
        <f>'Supuestos '!L14</f>
        <v>922.2750116</v>
      </c>
      <c r="L6" s="67">
        <f>'Supuestos '!M14</f>
        <v>1065.619494</v>
      </c>
      <c r="M6" s="67">
        <f>'Supuestos '!N14</f>
        <v>1182.831605</v>
      </c>
      <c r="N6" s="67">
        <f>'Supuestos '!O14</f>
        <v>1182.831605</v>
      </c>
      <c r="O6" s="67">
        <f>'Supuestos '!P14</f>
        <v>1221.331605</v>
      </c>
      <c r="P6" s="1"/>
      <c r="Q6" s="68">
        <f t="shared" ref="Q6:Q7" si="4">+F6/$F$6</f>
        <v>1</v>
      </c>
      <c r="R6" s="69">
        <f t="shared" ref="R6:R7" si="5">+G6/$G$6</f>
        <v>1</v>
      </c>
      <c r="S6" s="69">
        <f t="shared" ref="S6:S7" si="6">H6/$H$6</f>
        <v>1</v>
      </c>
      <c r="T6" s="69">
        <f t="shared" ref="T6:T7" si="7">+I6/$I$6</f>
        <v>1</v>
      </c>
      <c r="U6" s="70">
        <f t="shared" ref="U6:U7" si="8">+J6/$J$6</f>
        <v>1</v>
      </c>
      <c r="V6" s="1"/>
      <c r="W6" s="68">
        <f t="shared" ref="W6:X6" si="2">+(F6-E6)/E6</f>
        <v>-0.2798751442</v>
      </c>
      <c r="X6" s="69">
        <f t="shared" si="2"/>
        <v>0.750613014</v>
      </c>
      <c r="Y6" s="69">
        <f t="shared" ref="Y6:AA6" si="3">(H6-G6)/G6</f>
        <v>0.01479306037</v>
      </c>
      <c r="Z6" s="69">
        <f t="shared" si="3"/>
        <v>-0.07167290747</v>
      </c>
      <c r="AA6" s="70">
        <f t="shared" si="3"/>
        <v>0.08768681646</v>
      </c>
      <c r="AB6" s="71"/>
      <c r="AC6" s="1"/>
      <c r="AD6" s="68">
        <f t="shared" ref="AD6:AD8" si="11">IFERROR((J6/E6)^(1/(J$3-E$3))-1,"")</f>
        <v>0.05253383697</v>
      </c>
      <c r="AE6" s="70">
        <f t="shared" ref="AE6:AE8" si="12">IFERROR((O6/J6)^(1/(O$3-J$3))-1,"")</f>
        <v>0.0492170667</v>
      </c>
      <c r="AF6" s="1"/>
      <c r="AG6" s="1"/>
    </row>
    <row r="7" ht="15.75" customHeight="1">
      <c r="A7" s="23"/>
      <c r="B7" s="36" t="s">
        <v>37</v>
      </c>
      <c r="C7" s="23" t="s">
        <v>36</v>
      </c>
      <c r="D7" s="23"/>
      <c r="E7" s="65">
        <f>-619985/1000</f>
        <v>-619.985</v>
      </c>
      <c r="F7" s="65">
        <f>-513266/1000</f>
        <v>-513.266</v>
      </c>
      <c r="G7" s="65">
        <f>-656031/1000</f>
        <v>-656.031</v>
      </c>
      <c r="H7" s="65">
        <f>-762743/1000</f>
        <v>-762.743</v>
      </c>
      <c r="I7" s="66">
        <f>-(725507/1000)</f>
        <v>-725.507</v>
      </c>
      <c r="J7" s="65">
        <f>-(699588/1000)</f>
        <v>-699.588</v>
      </c>
      <c r="K7" s="67">
        <f>-'Supuestos '!L77</f>
        <v>-571.779923</v>
      </c>
      <c r="L7" s="67">
        <f>-'Supuestos '!M77</f>
        <v>-652.3160717</v>
      </c>
      <c r="M7" s="67">
        <f>-'Supuestos '!N77</f>
        <v>-724.6044856</v>
      </c>
      <c r="N7" s="67">
        <f>-'Supuestos '!O77</f>
        <v>-727.0509614</v>
      </c>
      <c r="O7" s="67">
        <f>-'Supuestos '!P77</f>
        <v>-750.1556153</v>
      </c>
      <c r="P7" s="1"/>
      <c r="Q7" s="68">
        <f t="shared" si="4"/>
        <v>-0.9585354147</v>
      </c>
      <c r="R7" s="69">
        <f t="shared" si="5"/>
        <v>-0.6998417963</v>
      </c>
      <c r="S7" s="69">
        <f t="shared" si="6"/>
        <v>-0.8018188393</v>
      </c>
      <c r="T7" s="69">
        <f t="shared" si="7"/>
        <v>-0.8215587157</v>
      </c>
      <c r="U7" s="70">
        <f t="shared" si="8"/>
        <v>-0.7283422226</v>
      </c>
      <c r="V7" s="1"/>
      <c r="W7" s="68">
        <f t="shared" ref="W7:X7" si="9">+(F7-E7)/E7</f>
        <v>-0.1721315838</v>
      </c>
      <c r="X7" s="69">
        <f t="shared" si="9"/>
        <v>0.278150121</v>
      </c>
      <c r="Y7" s="69">
        <f t="shared" ref="Y7:AA7" si="10">(H7-G7)/G7</f>
        <v>0.1626630449</v>
      </c>
      <c r="Z7" s="69">
        <f t="shared" si="10"/>
        <v>-0.04881854045</v>
      </c>
      <c r="AA7" s="70">
        <f t="shared" si="10"/>
        <v>-0.03572536171</v>
      </c>
      <c r="AB7" s="71"/>
      <c r="AC7" s="1"/>
      <c r="AD7" s="68">
        <f t="shared" si="11"/>
        <v>0.02445346062</v>
      </c>
      <c r="AE7" s="70">
        <f t="shared" si="12"/>
        <v>0.01405568146</v>
      </c>
      <c r="AF7" s="1"/>
      <c r="AG7" s="1"/>
    </row>
    <row r="8" ht="15.75" customHeight="1">
      <c r="A8" s="23"/>
      <c r="B8" s="72" t="s">
        <v>38</v>
      </c>
      <c r="C8" s="73" t="s">
        <v>36</v>
      </c>
      <c r="D8" s="73"/>
      <c r="E8" s="74">
        <f t="shared" ref="E8:O8" si="13">E6+E7</f>
        <v>123.593</v>
      </c>
      <c r="F8" s="74">
        <f t="shared" si="13"/>
        <v>22.203</v>
      </c>
      <c r="G8" s="74">
        <f t="shared" si="13"/>
        <v>281.368</v>
      </c>
      <c r="H8" s="74">
        <f t="shared" si="13"/>
        <v>188.523</v>
      </c>
      <c r="I8" s="74">
        <f t="shared" si="13"/>
        <v>157.579</v>
      </c>
      <c r="J8" s="74">
        <f t="shared" si="13"/>
        <v>260.933</v>
      </c>
      <c r="K8" s="75">
        <f t="shared" si="13"/>
        <v>350.4950886</v>
      </c>
      <c r="L8" s="75">
        <f t="shared" si="13"/>
        <v>413.3034227</v>
      </c>
      <c r="M8" s="75">
        <f t="shared" si="13"/>
        <v>458.2271193</v>
      </c>
      <c r="N8" s="75">
        <f t="shared" si="13"/>
        <v>455.7806436</v>
      </c>
      <c r="O8" s="75">
        <f t="shared" si="13"/>
        <v>471.1759896</v>
      </c>
      <c r="P8" s="36"/>
      <c r="Q8" s="68"/>
      <c r="R8" s="69"/>
      <c r="S8" s="69"/>
      <c r="T8" s="69"/>
      <c r="U8" s="70"/>
      <c r="V8" s="1"/>
      <c r="W8" s="68"/>
      <c r="X8" s="69"/>
      <c r="Y8" s="64"/>
      <c r="Z8" s="64"/>
      <c r="AA8" s="62"/>
      <c r="AB8" s="71"/>
      <c r="AC8" s="1"/>
      <c r="AD8" s="68">
        <f t="shared" si="11"/>
        <v>0.1611999987</v>
      </c>
      <c r="AE8" s="70">
        <f t="shared" si="12"/>
        <v>0.125461981</v>
      </c>
      <c r="AF8" s="1"/>
      <c r="AG8" s="1"/>
    </row>
    <row r="9" ht="15.75" customHeight="1">
      <c r="A9" s="23"/>
      <c r="B9" s="26" t="s">
        <v>39</v>
      </c>
      <c r="C9" s="23" t="s">
        <v>32</v>
      </c>
      <c r="D9" s="23"/>
      <c r="E9" s="76">
        <f t="shared" ref="E9:O9" si="14">IFERROR(E8/E$6,"")</f>
        <v>0.1662139009</v>
      </c>
      <c r="F9" s="76">
        <f t="shared" si="14"/>
        <v>0.04146458525</v>
      </c>
      <c r="G9" s="76">
        <f t="shared" si="14"/>
        <v>0.3001582037</v>
      </c>
      <c r="H9" s="76">
        <f t="shared" si="14"/>
        <v>0.1981811607</v>
      </c>
      <c r="I9" s="76">
        <f t="shared" si="14"/>
        <v>0.1784412843</v>
      </c>
      <c r="J9" s="76">
        <f t="shared" si="14"/>
        <v>0.2716577774</v>
      </c>
      <c r="K9" s="77">
        <f t="shared" si="14"/>
        <v>0.3800331617</v>
      </c>
      <c r="L9" s="77">
        <f t="shared" si="14"/>
        <v>0.3878527231</v>
      </c>
      <c r="M9" s="77">
        <f t="shared" si="14"/>
        <v>0.3873984407</v>
      </c>
      <c r="N9" s="77">
        <f t="shared" si="14"/>
        <v>0.3853301194</v>
      </c>
      <c r="O9" s="77">
        <f t="shared" si="14"/>
        <v>0.3857887471</v>
      </c>
      <c r="P9" s="1"/>
      <c r="Q9" s="68"/>
      <c r="R9" s="69"/>
      <c r="S9" s="69"/>
      <c r="T9" s="69"/>
      <c r="U9" s="70"/>
      <c r="V9" s="1"/>
      <c r="W9" s="68"/>
      <c r="X9" s="69"/>
      <c r="Y9" s="64"/>
      <c r="Z9" s="64"/>
      <c r="AA9" s="62"/>
      <c r="AB9" s="71"/>
      <c r="AC9" s="1"/>
      <c r="AD9" s="68"/>
      <c r="AE9" s="70"/>
      <c r="AF9" s="1"/>
      <c r="AG9" s="1"/>
    </row>
    <row r="10" ht="15.75" customHeight="1">
      <c r="A10" s="23"/>
      <c r="B10" s="1"/>
      <c r="C10" s="23"/>
      <c r="D10" s="2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68"/>
      <c r="R10" s="69"/>
      <c r="S10" s="69"/>
      <c r="T10" s="69"/>
      <c r="U10" s="70"/>
      <c r="V10" s="1"/>
      <c r="W10" s="68"/>
      <c r="X10" s="69"/>
      <c r="Y10" s="64"/>
      <c r="Z10" s="64"/>
      <c r="AA10" s="62"/>
      <c r="AB10" s="71"/>
      <c r="AC10" s="1"/>
      <c r="AD10" s="68" t="str">
        <f t="shared" ref="AD10:AD14" si="17">IFERROR((J10/E10)^(1/(J$3-E$3))-1,"")</f>
        <v/>
      </c>
      <c r="AE10" s="70" t="str">
        <f t="shared" ref="AE10:AE21" si="18">IFERROR((O10/J10)^(1/(O$3-J$3))-1,"")</f>
        <v/>
      </c>
      <c r="AF10" s="1"/>
      <c r="AG10" s="1"/>
    </row>
    <row r="11" ht="15.75" customHeight="1">
      <c r="A11" s="23"/>
      <c r="B11" s="36" t="s">
        <v>40</v>
      </c>
      <c r="C11" s="23" t="s">
        <v>36</v>
      </c>
      <c r="D11" s="23"/>
      <c r="E11" s="65">
        <f>-23199/1000</f>
        <v>-23.199</v>
      </c>
      <c r="F11" s="65">
        <f>-15435/1000</f>
        <v>-15.435</v>
      </c>
      <c r="G11" s="65">
        <f>-21125/1000</f>
        <v>-21.125</v>
      </c>
      <c r="H11" s="65">
        <f>-24852/1000</f>
        <v>-24.852</v>
      </c>
      <c r="I11" s="66">
        <f>-(30563/1000)</f>
        <v>-30.563</v>
      </c>
      <c r="J11" s="65">
        <f>-(29081/1000)</f>
        <v>-29.081</v>
      </c>
      <c r="K11" s="67">
        <f>-'Supuestos '!L87</f>
        <v>-27.91234871</v>
      </c>
      <c r="L11" s="67">
        <f>-'Supuestos '!M87</f>
        <v>-33.75761443</v>
      </c>
      <c r="M11" s="67">
        <f>-'Supuestos '!N87</f>
        <v>-36.33443866</v>
      </c>
      <c r="N11" s="67">
        <f>-'Supuestos '!O87</f>
        <v>-36.53566997</v>
      </c>
      <c r="O11" s="67">
        <f>-'Supuestos '!P87</f>
        <v>-37.97857323</v>
      </c>
      <c r="P11" s="1"/>
      <c r="Q11" s="68">
        <f t="shared" ref="Q11:Q14" si="19">+F11/$F$6</f>
        <v>-0.0288251981</v>
      </c>
      <c r="R11" s="69">
        <f t="shared" ref="R11:R14" si="20">+G11/$G$6</f>
        <v>-0.02253576119</v>
      </c>
      <c r="S11" s="69">
        <f t="shared" ref="S11:S14" si="21">H11/$H$6</f>
        <v>-0.02612518475</v>
      </c>
      <c r="T11" s="69">
        <f t="shared" ref="T11:T14" si="22">+I11/$I$6</f>
        <v>-0.03460931325</v>
      </c>
      <c r="U11" s="70">
        <f t="shared" ref="U11:U14" si="23">+J11/$J$6</f>
        <v>-0.03027627715</v>
      </c>
      <c r="V11" s="1"/>
      <c r="W11" s="68">
        <f t="shared" ref="W11:X11" si="15">+(F11-E11)/E11</f>
        <v>-0.3346695978</v>
      </c>
      <c r="X11" s="69">
        <f t="shared" si="15"/>
        <v>0.3686426952</v>
      </c>
      <c r="Y11" s="69">
        <f t="shared" ref="Y11:AA11" si="16">(H11-G11)/G11</f>
        <v>0.1764260355</v>
      </c>
      <c r="Z11" s="69">
        <f t="shared" si="16"/>
        <v>0.2298004185</v>
      </c>
      <c r="AA11" s="70">
        <f t="shared" si="16"/>
        <v>-0.04849000425</v>
      </c>
      <c r="AB11" s="71"/>
      <c r="AC11" s="1"/>
      <c r="AD11" s="68">
        <f t="shared" si="17"/>
        <v>0.04623203637</v>
      </c>
      <c r="AE11" s="70">
        <f t="shared" si="18"/>
        <v>0.05483823104</v>
      </c>
      <c r="AF11" s="1"/>
      <c r="AG11" s="1"/>
    </row>
    <row r="12" ht="15.75" customHeight="1">
      <c r="A12" s="23"/>
      <c r="B12" s="36" t="s">
        <v>41</v>
      </c>
      <c r="C12" s="23" t="s">
        <v>36</v>
      </c>
      <c r="D12" s="23"/>
      <c r="E12" s="65">
        <f>-58275/1000</f>
        <v>-58.275</v>
      </c>
      <c r="F12" s="65">
        <f>-40752/1000</f>
        <v>-40.752</v>
      </c>
      <c r="G12" s="65">
        <f>-57680/1000</f>
        <v>-57.68</v>
      </c>
      <c r="H12" s="65">
        <f>-69646/1000</f>
        <v>-69.646</v>
      </c>
      <c r="I12" s="66">
        <f>-(55157/1000)</f>
        <v>-55.157</v>
      </c>
      <c r="J12" s="65">
        <f>-(62875/1000)</f>
        <v>-62.875</v>
      </c>
      <c r="K12" s="67">
        <f>-'Supuestos '!L96</f>
        <v>-25.9037362</v>
      </c>
      <c r="L12" s="67">
        <f>-'Supuestos '!M96</f>
        <v>-30.3317936</v>
      </c>
      <c r="M12" s="67">
        <f>-'Supuestos '!N96</f>
        <v>-33.4657271</v>
      </c>
      <c r="N12" s="67">
        <f>-'Supuestos '!O96</f>
        <v>-33.31360253</v>
      </c>
      <c r="O12" s="67">
        <f>-'Supuestos '!P96</f>
        <v>-32.3603252</v>
      </c>
      <c r="P12" s="1"/>
      <c r="Q12" s="68">
        <f t="shared" si="19"/>
        <v>-0.07610524606</v>
      </c>
      <c r="R12" s="69">
        <f t="shared" si="20"/>
        <v>-0.06153196238</v>
      </c>
      <c r="S12" s="69">
        <f t="shared" si="21"/>
        <v>-0.07321401164</v>
      </c>
      <c r="T12" s="69">
        <f t="shared" si="22"/>
        <v>-0.06245937542</v>
      </c>
      <c r="U12" s="70">
        <f t="shared" si="23"/>
        <v>-0.06545926638</v>
      </c>
      <c r="V12" s="1"/>
      <c r="W12" s="68">
        <f t="shared" ref="W12:AA12" si="24">+(F12-E12)/E12</f>
        <v>-0.3006949807</v>
      </c>
      <c r="X12" s="69">
        <f t="shared" si="24"/>
        <v>0.4153906557</v>
      </c>
      <c r="Y12" s="69">
        <f t="shared" si="24"/>
        <v>0.2074549237</v>
      </c>
      <c r="Z12" s="69">
        <f t="shared" si="24"/>
        <v>-0.2080377911</v>
      </c>
      <c r="AA12" s="70">
        <f t="shared" si="24"/>
        <v>0.1399278423</v>
      </c>
      <c r="AB12" s="71"/>
      <c r="AC12" s="1"/>
      <c r="AD12" s="68">
        <f t="shared" si="17"/>
        <v>0.01531112102</v>
      </c>
      <c r="AE12" s="70">
        <f t="shared" si="18"/>
        <v>-0.1243975343</v>
      </c>
      <c r="AF12" s="1"/>
      <c r="AG12" s="1"/>
    </row>
    <row r="13" ht="15.75" customHeight="1">
      <c r="A13" s="23"/>
      <c r="B13" s="36" t="s">
        <v>42</v>
      </c>
      <c r="C13" s="23" t="s">
        <v>36</v>
      </c>
      <c r="D13" s="23"/>
      <c r="E13" s="65">
        <f>66840/1000</f>
        <v>66.84</v>
      </c>
      <c r="F13" s="65">
        <f>46907/1000</f>
        <v>46.907</v>
      </c>
      <c r="G13" s="65">
        <f>42505/1000</f>
        <v>42.505</v>
      </c>
      <c r="H13" s="65">
        <f>60068/1000</f>
        <v>60.068</v>
      </c>
      <c r="I13" s="66">
        <f>63429/1000</f>
        <v>63.429</v>
      </c>
      <c r="J13" s="65">
        <f>145115/1000</f>
        <v>145.115</v>
      </c>
      <c r="K13" s="67">
        <f>'Supuestos '!L102</f>
        <v>87.93932724</v>
      </c>
      <c r="L13" s="67">
        <f>'Supuestos '!M102</f>
        <v>101.6072866</v>
      </c>
      <c r="M13" s="67">
        <f>'Supuestos '!N102</f>
        <v>112.7835128</v>
      </c>
      <c r="N13" s="67">
        <f>'Supuestos '!O102</f>
        <v>112.7835128</v>
      </c>
      <c r="O13" s="67">
        <f>'Supuestos '!P102</f>
        <v>116.4545047</v>
      </c>
      <c r="P13" s="1"/>
      <c r="Q13" s="68">
        <f t="shared" si="19"/>
        <v>0.08759984238</v>
      </c>
      <c r="R13" s="69">
        <f t="shared" si="20"/>
        <v>0.04534355168</v>
      </c>
      <c r="S13" s="69">
        <f t="shared" si="21"/>
        <v>0.06314532423</v>
      </c>
      <c r="T13" s="69">
        <f t="shared" si="22"/>
        <v>0.07182652652</v>
      </c>
      <c r="U13" s="70">
        <f t="shared" si="23"/>
        <v>0.1510794662</v>
      </c>
      <c r="V13" s="1"/>
      <c r="W13" s="68">
        <f t="shared" ref="W13:AA13" si="25">+(F13-E13)/E13</f>
        <v>-0.298219629</v>
      </c>
      <c r="X13" s="69">
        <f t="shared" si="25"/>
        <v>-0.0938452683</v>
      </c>
      <c r="Y13" s="69">
        <f t="shared" si="25"/>
        <v>0.4131984472</v>
      </c>
      <c r="Z13" s="69">
        <f t="shared" si="25"/>
        <v>0.05595325298</v>
      </c>
      <c r="AA13" s="70">
        <f t="shared" si="25"/>
        <v>1.287833641</v>
      </c>
      <c r="AB13" s="71"/>
      <c r="AC13" s="1"/>
      <c r="AD13" s="68">
        <f t="shared" si="17"/>
        <v>0.1677104667</v>
      </c>
      <c r="AE13" s="70">
        <f t="shared" si="18"/>
        <v>-0.04305099043</v>
      </c>
      <c r="AF13" s="1"/>
      <c r="AG13" s="1"/>
    </row>
    <row r="14" ht="15.75" customHeight="1">
      <c r="A14" s="23"/>
      <c r="B14" s="36" t="s">
        <v>43</v>
      </c>
      <c r="C14" s="23" t="s">
        <v>36</v>
      </c>
      <c r="D14" s="23"/>
      <c r="E14" s="65">
        <f>-96341/1000</f>
        <v>-96.341</v>
      </c>
      <c r="F14" s="65">
        <f>-97347/1000</f>
        <v>-97.347</v>
      </c>
      <c r="G14" s="65">
        <f>-79472/1000</f>
        <v>-79.472</v>
      </c>
      <c r="H14" s="65">
        <f>-87465/1000</f>
        <v>-87.465</v>
      </c>
      <c r="I14" s="66">
        <f>-(78507/1000)</f>
        <v>-78.507</v>
      </c>
      <c r="J14" s="65">
        <f>-(115282/1000)</f>
        <v>-115.282</v>
      </c>
      <c r="K14" s="67">
        <f>-'Supuestos '!L112</f>
        <v>-89.70790187</v>
      </c>
      <c r="L14" s="67">
        <f>-'Supuestos '!M112</f>
        <v>-103.6085789</v>
      </c>
      <c r="M14" s="67">
        <f>-'Supuestos '!N112</f>
        <v>-114.9815898</v>
      </c>
      <c r="N14" s="67">
        <f>-'Supuestos '!O112</f>
        <v>-115.0062447</v>
      </c>
      <c r="O14" s="67">
        <f>-'Supuestos '!P112</f>
        <v>-119.214407</v>
      </c>
      <c r="P14" s="1"/>
      <c r="Q14" s="68">
        <f t="shared" si="19"/>
        <v>-0.1817976391</v>
      </c>
      <c r="R14" s="69">
        <f t="shared" si="20"/>
        <v>-0.08477926689</v>
      </c>
      <c r="S14" s="69">
        <f t="shared" si="21"/>
        <v>-0.09194589105</v>
      </c>
      <c r="T14" s="69">
        <f t="shared" si="22"/>
        <v>-0.08890074126</v>
      </c>
      <c r="U14" s="70">
        <f t="shared" si="23"/>
        <v>-0.1200202807</v>
      </c>
      <c r="V14" s="1"/>
      <c r="W14" s="68">
        <f t="shared" ref="W14:AA14" si="26">+(F14-E14)/E14</f>
        <v>0.01044207554</v>
      </c>
      <c r="X14" s="69">
        <f t="shared" si="26"/>
        <v>-0.1836214778</v>
      </c>
      <c r="Y14" s="69">
        <f t="shared" si="26"/>
        <v>0.1005763036</v>
      </c>
      <c r="Z14" s="69">
        <f t="shared" si="26"/>
        <v>-0.1024181101</v>
      </c>
      <c r="AA14" s="70">
        <f t="shared" si="26"/>
        <v>0.4684295668</v>
      </c>
      <c r="AB14" s="71"/>
      <c r="AC14" s="1"/>
      <c r="AD14" s="68">
        <f t="shared" si="17"/>
        <v>0.0365495573</v>
      </c>
      <c r="AE14" s="70">
        <f t="shared" si="18"/>
        <v>0.006731014218</v>
      </c>
      <c r="AF14" s="1"/>
      <c r="AG14" s="1"/>
    </row>
    <row r="15" ht="15.75" customHeight="1">
      <c r="A15" s="23"/>
      <c r="B15" s="78" t="s">
        <v>44</v>
      </c>
      <c r="C15" s="23" t="s">
        <v>36</v>
      </c>
      <c r="D15" s="23"/>
      <c r="E15" s="65">
        <f>35600/1000</f>
        <v>35.6</v>
      </c>
      <c r="F15" s="65">
        <v>0.0</v>
      </c>
      <c r="G15" s="65">
        <v>0.0</v>
      </c>
      <c r="H15" s="65">
        <v>0.0</v>
      </c>
      <c r="I15" s="65">
        <v>0.0</v>
      </c>
      <c r="J15" s="65">
        <v>0.0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1"/>
      <c r="Q15" s="68"/>
      <c r="R15" s="69"/>
      <c r="S15" s="69"/>
      <c r="T15" s="69"/>
      <c r="U15" s="70"/>
      <c r="V15" s="1"/>
      <c r="W15" s="68">
        <f t="shared" ref="W15:W17" si="27">+(F15-E15)/E15</f>
        <v>-1</v>
      </c>
      <c r="X15" s="69"/>
      <c r="Y15" s="69"/>
      <c r="Z15" s="69"/>
      <c r="AA15" s="70"/>
      <c r="AB15" s="71"/>
      <c r="AC15" s="1"/>
      <c r="AD15" s="68"/>
      <c r="AE15" s="70" t="str">
        <f t="shared" si="18"/>
        <v/>
      </c>
      <c r="AF15" s="1"/>
      <c r="AG15" s="1"/>
    </row>
    <row r="16" ht="15.75" customHeight="1">
      <c r="A16" s="23"/>
      <c r="B16" s="36" t="s">
        <v>45</v>
      </c>
      <c r="C16" s="80" t="s">
        <v>36</v>
      </c>
      <c r="D16" s="23"/>
      <c r="E16" s="65">
        <f>-19613/1000</f>
        <v>-19.613</v>
      </c>
      <c r="F16" s="65">
        <f>-10659/1000</f>
        <v>-10.659</v>
      </c>
      <c r="G16" s="65">
        <f>-13397/1000</f>
        <v>-13.397</v>
      </c>
      <c r="H16" s="65">
        <f>-126069/1000</f>
        <v>-126.069</v>
      </c>
      <c r="I16" s="66">
        <f>-(36200/1000)</f>
        <v>-36.2</v>
      </c>
      <c r="J16" s="65">
        <f>(91700/1000)</f>
        <v>91.7</v>
      </c>
      <c r="K16" s="81">
        <v>0.0</v>
      </c>
      <c r="L16" s="81">
        <v>0.0</v>
      </c>
      <c r="M16" s="81">
        <v>0.0</v>
      </c>
      <c r="N16" s="81">
        <v>0.0</v>
      </c>
      <c r="O16" s="81">
        <v>0.0</v>
      </c>
      <c r="P16" s="1"/>
      <c r="Q16" s="68">
        <f t="shared" ref="Q16:Q17" si="30">+F16/$F$6</f>
        <v>-0.01990591425</v>
      </c>
      <c r="R16" s="69">
        <f t="shared" ref="R16:R17" si="31">+G16/$G$6</f>
        <v>-0.01429167302</v>
      </c>
      <c r="S16" s="69">
        <f t="shared" ref="S16:S17" si="32">H16/$H$6</f>
        <v>-0.1325276001</v>
      </c>
      <c r="T16" s="69">
        <f t="shared" ref="T16:T17" si="33">+I16/$I$6</f>
        <v>-0.04099261001</v>
      </c>
      <c r="U16" s="70">
        <f t="shared" ref="U16:U17" si="34">+J16/$J$6</f>
        <v>0.0954690215</v>
      </c>
      <c r="V16" s="1"/>
      <c r="W16" s="68">
        <f t="shared" si="27"/>
        <v>-0.4565339316</v>
      </c>
      <c r="X16" s="69">
        <f t="shared" ref="X16:AA16" si="28">+(G16-F16)/F16</f>
        <v>0.2568721268</v>
      </c>
      <c r="Y16" s="69">
        <f t="shared" si="28"/>
        <v>8.410241099</v>
      </c>
      <c r="Z16" s="69">
        <f t="shared" si="28"/>
        <v>-0.7128556584</v>
      </c>
      <c r="AA16" s="70">
        <f t="shared" si="28"/>
        <v>-3.533149171</v>
      </c>
      <c r="AB16" s="71"/>
      <c r="AC16" s="1"/>
      <c r="AD16" s="68">
        <f t="shared" ref="AD16:AD17" si="36">IFERROR((J16/E16)^(1/(J$3-E$3))-1,"")</f>
        <v>-2.36133516</v>
      </c>
      <c r="AE16" s="70">
        <f t="shared" si="18"/>
        <v>-1</v>
      </c>
      <c r="AF16" s="1"/>
      <c r="AG16" s="1"/>
    </row>
    <row r="17" ht="15.75" customHeight="1">
      <c r="A17" s="23"/>
      <c r="B17" s="82" t="s">
        <v>46</v>
      </c>
      <c r="C17" s="23" t="s">
        <v>36</v>
      </c>
      <c r="D17" s="83"/>
      <c r="E17" s="84">
        <f t="shared" ref="E17:O17" si="29">SUM(E8,E11:E16)</f>
        <v>28.605</v>
      </c>
      <c r="F17" s="84">
        <f t="shared" si="29"/>
        <v>-95.083</v>
      </c>
      <c r="G17" s="84">
        <f t="shared" si="29"/>
        <v>152.199</v>
      </c>
      <c r="H17" s="84">
        <f t="shared" si="29"/>
        <v>-59.441</v>
      </c>
      <c r="I17" s="84">
        <f t="shared" si="29"/>
        <v>20.581</v>
      </c>
      <c r="J17" s="84">
        <f t="shared" si="29"/>
        <v>290.51</v>
      </c>
      <c r="K17" s="85">
        <f t="shared" si="29"/>
        <v>294.9104291</v>
      </c>
      <c r="L17" s="85">
        <f t="shared" si="29"/>
        <v>347.2127223</v>
      </c>
      <c r="M17" s="85">
        <f t="shared" si="29"/>
        <v>386.2288766</v>
      </c>
      <c r="N17" s="85">
        <f t="shared" si="29"/>
        <v>383.7086391</v>
      </c>
      <c r="O17" s="85">
        <f t="shared" si="29"/>
        <v>398.077189</v>
      </c>
      <c r="P17" s="36"/>
      <c r="Q17" s="68">
        <f t="shared" si="30"/>
        <v>-0.1775695699</v>
      </c>
      <c r="R17" s="69">
        <f t="shared" si="31"/>
        <v>0.1623630919</v>
      </c>
      <c r="S17" s="69">
        <f t="shared" si="32"/>
        <v>-0.0624862026</v>
      </c>
      <c r="T17" s="69">
        <f t="shared" si="33"/>
        <v>0.0233057709</v>
      </c>
      <c r="U17" s="70">
        <f t="shared" si="34"/>
        <v>0.302450441</v>
      </c>
      <c r="V17" s="1"/>
      <c r="W17" s="68">
        <f t="shared" si="27"/>
        <v>-4.323999301</v>
      </c>
      <c r="X17" s="69">
        <f t="shared" ref="X17:AA17" si="35">+(G17-F17)/F17</f>
        <v>-2.600696234</v>
      </c>
      <c r="Y17" s="69">
        <f t="shared" si="35"/>
        <v>-1.390547901</v>
      </c>
      <c r="Z17" s="69">
        <f t="shared" si="35"/>
        <v>-1.346242493</v>
      </c>
      <c r="AA17" s="70">
        <f t="shared" si="35"/>
        <v>13.11544629</v>
      </c>
      <c r="AB17" s="71"/>
      <c r="AC17" s="1"/>
      <c r="AD17" s="68">
        <f t="shared" si="36"/>
        <v>0.5898048841</v>
      </c>
      <c r="AE17" s="70">
        <f t="shared" si="18"/>
        <v>0.06502852826</v>
      </c>
      <c r="AF17" s="1"/>
      <c r="AG17" s="1"/>
    </row>
    <row r="18" ht="15.75" customHeight="1">
      <c r="A18" s="23"/>
      <c r="B18" s="26" t="s">
        <v>47</v>
      </c>
      <c r="C18" s="23" t="s">
        <v>32</v>
      </c>
      <c r="D18" s="23"/>
      <c r="E18" s="76">
        <f t="shared" ref="E18:O18" si="37">IFERROR(E17/E$6,"")</f>
        <v>0.03846940065</v>
      </c>
      <c r="F18" s="76">
        <f t="shared" si="37"/>
        <v>-0.1775695699</v>
      </c>
      <c r="G18" s="76">
        <f t="shared" si="37"/>
        <v>0.1623630919</v>
      </c>
      <c r="H18" s="76">
        <f t="shared" si="37"/>
        <v>-0.0624862026</v>
      </c>
      <c r="I18" s="76">
        <f t="shared" si="37"/>
        <v>0.0233057709</v>
      </c>
      <c r="J18" s="76">
        <f t="shared" si="37"/>
        <v>0.302450441</v>
      </c>
      <c r="K18" s="77">
        <f t="shared" si="37"/>
        <v>0.3197640892</v>
      </c>
      <c r="L18" s="77">
        <f t="shared" si="37"/>
        <v>0.3258318041</v>
      </c>
      <c r="M18" s="77">
        <f t="shared" si="37"/>
        <v>0.3265290469</v>
      </c>
      <c r="N18" s="77">
        <f t="shared" si="37"/>
        <v>0.3243983654</v>
      </c>
      <c r="O18" s="77">
        <f t="shared" si="37"/>
        <v>0.3259370243</v>
      </c>
      <c r="P18" s="1"/>
      <c r="Q18" s="68"/>
      <c r="R18" s="69"/>
      <c r="S18" s="69"/>
      <c r="T18" s="69"/>
      <c r="U18" s="70"/>
      <c r="V18" s="1"/>
      <c r="W18" s="68"/>
      <c r="X18" s="69"/>
      <c r="Y18" s="64"/>
      <c r="Z18" s="64"/>
      <c r="AA18" s="62"/>
      <c r="AB18" s="71"/>
      <c r="AC18" s="1"/>
      <c r="AD18" s="68"/>
      <c r="AE18" s="70">
        <f t="shared" si="18"/>
        <v>0.0150697716</v>
      </c>
      <c r="AF18" s="1"/>
      <c r="AG18" s="1"/>
    </row>
    <row r="19" ht="15.75" customHeight="1">
      <c r="A19" s="23"/>
      <c r="B19" s="1"/>
      <c r="C19" s="23"/>
      <c r="D19" s="2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68"/>
      <c r="R19" s="69"/>
      <c r="S19" s="69"/>
      <c r="T19" s="69"/>
      <c r="U19" s="70"/>
      <c r="V19" s="1"/>
      <c r="W19" s="68"/>
      <c r="X19" s="69"/>
      <c r="Y19" s="64"/>
      <c r="Z19" s="64"/>
      <c r="AA19" s="62"/>
      <c r="AB19" s="71"/>
      <c r="AC19" s="1"/>
      <c r="AD19" s="68" t="str">
        <f t="shared" ref="AD19:AD21" si="39">IFERROR((J19/E19)^(1/(J$3-E$3))-1,"")</f>
        <v/>
      </c>
      <c r="AE19" s="70" t="str">
        <f t="shared" si="18"/>
        <v/>
      </c>
      <c r="AF19" s="1"/>
      <c r="AG19" s="1"/>
    </row>
    <row r="20" ht="15.75" customHeight="1">
      <c r="A20" s="23"/>
      <c r="B20" s="36" t="s">
        <v>48</v>
      </c>
      <c r="C20" s="23" t="s">
        <v>36</v>
      </c>
      <c r="D20" s="23"/>
      <c r="E20" s="86">
        <f>201340/1000</f>
        <v>201.34</v>
      </c>
      <c r="F20" s="86">
        <f>165496/1000</f>
        <v>165.496</v>
      </c>
      <c r="G20" s="87">
        <f>224794/1000</f>
        <v>224.794</v>
      </c>
      <c r="H20" s="87">
        <f>194238/1000</f>
        <v>194.238</v>
      </c>
      <c r="I20" s="86">
        <f>(207115/1000)</f>
        <v>207.115</v>
      </c>
      <c r="J20" s="86">
        <f>(194964/1000)</f>
        <v>194.964</v>
      </c>
      <c r="K20" s="88">
        <f>'Supuestos '!L119</f>
        <v>70.81064696</v>
      </c>
      <c r="L20" s="88">
        <f>'Supuestos '!M119</f>
        <v>73.11945135</v>
      </c>
      <c r="M20" s="88">
        <f>'Supuestos '!N119</f>
        <v>82.14670329</v>
      </c>
      <c r="N20" s="88">
        <f>'Supuestos '!O119</f>
        <v>84.33760291</v>
      </c>
      <c r="O20" s="88">
        <f>'Supuestos '!P119</f>
        <v>86.19128854</v>
      </c>
      <c r="P20" s="1"/>
      <c r="Q20" s="68">
        <f t="shared" ref="Q20:Q21" si="41">+F20/$F$6</f>
        <v>0.3090673783</v>
      </c>
      <c r="R20" s="69">
        <f t="shared" ref="R20:R21" si="42">+G20/$G$6</f>
        <v>0.2398061018</v>
      </c>
      <c r="S20" s="69">
        <f t="shared" ref="S20:S21" si="43">H20/$H$6</f>
        <v>0.204188944</v>
      </c>
      <c r="T20" s="69">
        <f t="shared" ref="T20:T21" si="44">+I20/$I$6</f>
        <v>0.2345354813</v>
      </c>
      <c r="U20" s="70">
        <f t="shared" ref="U20:U21" si="45">+J20/$J$6</f>
        <v>0.2029773425</v>
      </c>
      <c r="V20" s="1"/>
      <c r="W20" s="68">
        <f t="shared" ref="W20:AA20" si="38">+(F20-E20)/E20</f>
        <v>-0.1780272176</v>
      </c>
      <c r="X20" s="69">
        <f t="shared" si="38"/>
        <v>0.3583047324</v>
      </c>
      <c r="Y20" s="69">
        <f t="shared" si="38"/>
        <v>-0.1359288949</v>
      </c>
      <c r="Z20" s="69">
        <f t="shared" si="38"/>
        <v>0.06629495773</v>
      </c>
      <c r="AA20" s="70">
        <f t="shared" si="38"/>
        <v>-0.05866788982</v>
      </c>
      <c r="AB20" s="71"/>
      <c r="AC20" s="1"/>
      <c r="AD20" s="68">
        <f t="shared" si="39"/>
        <v>-0.006415352224</v>
      </c>
      <c r="AE20" s="70">
        <f t="shared" si="18"/>
        <v>-0.1506204718</v>
      </c>
      <c r="AF20" s="1"/>
      <c r="AG20" s="1"/>
    </row>
    <row r="21" ht="15.75" customHeight="1">
      <c r="A21" s="23"/>
      <c r="B21" s="72" t="s">
        <v>49</v>
      </c>
      <c r="C21" s="89" t="s">
        <v>36</v>
      </c>
      <c r="D21" s="89"/>
      <c r="E21" s="74">
        <f t="shared" ref="E21:O21" si="40">E17+E20</f>
        <v>229.945</v>
      </c>
      <c r="F21" s="74">
        <f t="shared" si="40"/>
        <v>70.413</v>
      </c>
      <c r="G21" s="74">
        <f t="shared" si="40"/>
        <v>376.993</v>
      </c>
      <c r="H21" s="74">
        <f t="shared" si="40"/>
        <v>134.797</v>
      </c>
      <c r="I21" s="74">
        <f t="shared" si="40"/>
        <v>227.696</v>
      </c>
      <c r="J21" s="74">
        <f t="shared" si="40"/>
        <v>485.474</v>
      </c>
      <c r="K21" s="75">
        <f t="shared" si="40"/>
        <v>365.721076</v>
      </c>
      <c r="L21" s="75">
        <f t="shared" si="40"/>
        <v>420.3321737</v>
      </c>
      <c r="M21" s="75">
        <f t="shared" si="40"/>
        <v>468.3755799</v>
      </c>
      <c r="N21" s="75">
        <f t="shared" si="40"/>
        <v>468.0462421</v>
      </c>
      <c r="O21" s="75">
        <f t="shared" si="40"/>
        <v>484.2684775</v>
      </c>
      <c r="P21" s="26"/>
      <c r="Q21" s="68">
        <f t="shared" si="41"/>
        <v>0.1314978085</v>
      </c>
      <c r="R21" s="69">
        <f t="shared" si="42"/>
        <v>0.4021691937</v>
      </c>
      <c r="S21" s="69">
        <f t="shared" si="43"/>
        <v>0.1417027414</v>
      </c>
      <c r="T21" s="69">
        <f t="shared" si="44"/>
        <v>0.2578412522</v>
      </c>
      <c r="U21" s="70">
        <f t="shared" si="45"/>
        <v>0.5054277835</v>
      </c>
      <c r="V21" s="1"/>
      <c r="W21" s="68">
        <f t="shared" ref="W21:AA21" si="46">+(F21-E21)/E21</f>
        <v>-0.693783296</v>
      </c>
      <c r="X21" s="69">
        <f t="shared" si="46"/>
        <v>4.354025535</v>
      </c>
      <c r="Y21" s="69">
        <f t="shared" si="46"/>
        <v>-0.6424416368</v>
      </c>
      <c r="Z21" s="69">
        <f t="shared" si="46"/>
        <v>0.6891770588</v>
      </c>
      <c r="AA21" s="70">
        <f t="shared" si="46"/>
        <v>1.132114749</v>
      </c>
      <c r="AB21" s="71"/>
      <c r="AC21" s="1"/>
      <c r="AD21" s="68">
        <f t="shared" si="39"/>
        <v>0.1612036735</v>
      </c>
      <c r="AE21" s="70">
        <f t="shared" si="18"/>
        <v>-0.0004971313401</v>
      </c>
      <c r="AF21" s="1"/>
      <c r="AG21" s="1"/>
    </row>
    <row r="22" ht="15.75" customHeight="1">
      <c r="A22" s="23"/>
      <c r="B22" s="26" t="s">
        <v>50</v>
      </c>
      <c r="C22" s="23" t="s">
        <v>32</v>
      </c>
      <c r="D22" s="23"/>
      <c r="E22" s="76">
        <f t="shared" ref="E22:O22" si="47">IFERROR(E21/E$6,"")</f>
        <v>0.3092412632</v>
      </c>
      <c r="F22" s="76">
        <f t="shared" si="47"/>
        <v>0.1314978085</v>
      </c>
      <c r="G22" s="76">
        <f t="shared" si="47"/>
        <v>0.4021691937</v>
      </c>
      <c r="H22" s="76">
        <f t="shared" si="47"/>
        <v>0.1417027414</v>
      </c>
      <c r="I22" s="76">
        <f t="shared" si="47"/>
        <v>0.2578412522</v>
      </c>
      <c r="J22" s="76">
        <f t="shared" si="47"/>
        <v>0.5054277835</v>
      </c>
      <c r="K22" s="77">
        <f t="shared" si="47"/>
        <v>0.3965423235</v>
      </c>
      <c r="L22" s="77">
        <f t="shared" si="47"/>
        <v>0.3944486525</v>
      </c>
      <c r="M22" s="77">
        <f t="shared" si="47"/>
        <v>0.3959782423</v>
      </c>
      <c r="N22" s="77">
        <f t="shared" si="47"/>
        <v>0.3956998106</v>
      </c>
      <c r="O22" s="77">
        <f t="shared" si="47"/>
        <v>0.396508594</v>
      </c>
      <c r="P22" s="1"/>
      <c r="Q22" s="68"/>
      <c r="R22" s="69"/>
      <c r="S22" s="69"/>
      <c r="T22" s="69"/>
      <c r="U22" s="70"/>
      <c r="V22" s="1"/>
      <c r="W22" s="68"/>
      <c r="X22" s="69"/>
      <c r="Y22" s="69"/>
      <c r="Z22" s="69"/>
      <c r="AA22" s="70"/>
      <c r="AB22" s="71"/>
      <c r="AC22" s="1"/>
      <c r="AD22" s="68"/>
      <c r="AE22" s="70"/>
      <c r="AF22" s="1"/>
      <c r="AG22" s="1"/>
    </row>
    <row r="23" ht="15.75" customHeight="1">
      <c r="A23" s="23"/>
      <c r="B23" s="36"/>
      <c r="C23" s="23"/>
      <c r="D23" s="2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68"/>
      <c r="R23" s="69"/>
      <c r="S23" s="69"/>
      <c r="T23" s="69"/>
      <c r="U23" s="70"/>
      <c r="V23" s="1"/>
      <c r="W23" s="68"/>
      <c r="X23" s="69"/>
      <c r="Y23" s="69"/>
      <c r="Z23" s="69"/>
      <c r="AA23" s="70"/>
      <c r="AB23" s="71"/>
      <c r="AC23" s="1"/>
      <c r="AD23" s="68" t="str">
        <f t="shared" ref="AD23:AD85" si="49">IFERROR((J23/E23)^(1/(J$3-E$3))-1,"")</f>
        <v/>
      </c>
      <c r="AE23" s="70" t="str">
        <f t="shared" ref="AE23:AE57" si="50">IFERROR((O23/J23)^(1/(O$3-J$3))-1,"")</f>
        <v/>
      </c>
      <c r="AF23" s="1"/>
      <c r="AG23" s="1"/>
    </row>
    <row r="24" ht="15.75" customHeight="1">
      <c r="A24" s="23"/>
      <c r="B24" s="36" t="s">
        <v>51</v>
      </c>
      <c r="C24" s="23" t="s">
        <v>36</v>
      </c>
      <c r="D24" s="23"/>
      <c r="E24" s="65">
        <f>1842/1000</f>
        <v>1.842</v>
      </c>
      <c r="F24" s="65">
        <f>1820/1000</f>
        <v>1.82</v>
      </c>
      <c r="G24" s="65">
        <f>3179/1000</f>
        <v>3.179</v>
      </c>
      <c r="H24" s="65">
        <f>14751/1000</f>
        <v>14.751</v>
      </c>
      <c r="I24" s="65">
        <f>(5793/1000)</f>
        <v>5.793</v>
      </c>
      <c r="J24" s="65">
        <f>(4888/1000)</f>
        <v>4.888</v>
      </c>
      <c r="K24" s="67">
        <f>'Supuestos '!L165</f>
        <v>155.834</v>
      </c>
      <c r="L24" s="67">
        <f>'Supuestos '!M165</f>
        <v>149.6290078</v>
      </c>
      <c r="M24" s="67">
        <f>'Supuestos '!N165</f>
        <v>172.8850783</v>
      </c>
      <c r="N24" s="67">
        <f>'Supuestos '!O165</f>
        <v>191.901458</v>
      </c>
      <c r="O24" s="67">
        <f>'Supuestos '!P165</f>
        <v>191.901458</v>
      </c>
      <c r="P24" s="1"/>
      <c r="Q24" s="68">
        <f t="shared" ref="Q24:Q26" si="51">+F24/$F$6</f>
        <v>0.003398889572</v>
      </c>
      <c r="R24" s="69">
        <f t="shared" ref="R24:R26" si="52">+G24/$G$6</f>
        <v>0.003391298689</v>
      </c>
      <c r="S24" s="69">
        <f t="shared" ref="S24:S26" si="53">H24/$H$6</f>
        <v>0.0155067037</v>
      </c>
      <c r="T24" s="69">
        <f t="shared" ref="T24:T26" si="54">+I24/$I$6</f>
        <v>0.006559949994</v>
      </c>
      <c r="U24" s="70">
        <f t="shared" ref="U24:U26" si="55">+J24/$J$6</f>
        <v>0.005088904876</v>
      </c>
      <c r="V24" s="1"/>
      <c r="W24" s="68">
        <f t="shared" ref="W24:AA24" si="48">+(F24-E24)/E24</f>
        <v>-0.01194353963</v>
      </c>
      <c r="X24" s="69">
        <f t="shared" si="48"/>
        <v>0.7467032967</v>
      </c>
      <c r="Y24" s="69">
        <f t="shared" si="48"/>
        <v>3.640138408</v>
      </c>
      <c r="Z24" s="69">
        <f t="shared" si="48"/>
        <v>-0.6072808623</v>
      </c>
      <c r="AA24" s="70">
        <f t="shared" si="48"/>
        <v>-0.1562230278</v>
      </c>
      <c r="AB24" s="71"/>
      <c r="AC24" s="1"/>
      <c r="AD24" s="68">
        <f t="shared" si="49"/>
        <v>0.2155373675</v>
      </c>
      <c r="AE24" s="70">
        <f t="shared" si="50"/>
        <v>1.083480382</v>
      </c>
      <c r="AF24" s="1"/>
      <c r="AG24" s="1"/>
    </row>
    <row r="25" ht="15.75" customHeight="1">
      <c r="A25" s="23"/>
      <c r="B25" s="36" t="s">
        <v>52</v>
      </c>
      <c r="C25" s="23" t="s">
        <v>36</v>
      </c>
      <c r="D25" s="23"/>
      <c r="E25" s="65">
        <f>-48386/1000</f>
        <v>-48.386</v>
      </c>
      <c r="F25" s="65">
        <f>-56473/1000</f>
        <v>-56.473</v>
      </c>
      <c r="G25" s="65">
        <f>-61591/1000</f>
        <v>-61.591</v>
      </c>
      <c r="H25" s="65">
        <f>-57124/1000</f>
        <v>-57.124</v>
      </c>
      <c r="I25" s="65">
        <f>-(70526/1000)</f>
        <v>-70.526</v>
      </c>
      <c r="J25" s="65">
        <f>-(79206/1000)</f>
        <v>-79.206</v>
      </c>
      <c r="K25" s="67">
        <f>-'Supuestos '!L169</f>
        <v>-39.6623569</v>
      </c>
      <c r="L25" s="67">
        <f>-'Supuestos '!M169</f>
        <v>-28.92988642</v>
      </c>
      <c r="M25" s="67">
        <f>-'Supuestos '!N169</f>
        <v>-19.4558003</v>
      </c>
      <c r="N25" s="67">
        <f>-'Supuestos '!O169</f>
        <v>-11.50498212</v>
      </c>
      <c r="O25" s="67">
        <f>-'Supuestos '!P169</f>
        <v>-5.377864472</v>
      </c>
      <c r="P25" s="1"/>
      <c r="Q25" s="68">
        <f t="shared" si="51"/>
        <v>-0.1054645554</v>
      </c>
      <c r="R25" s="69">
        <f t="shared" si="52"/>
        <v>-0.06570414519</v>
      </c>
      <c r="S25" s="69">
        <f t="shared" si="53"/>
        <v>-0.06005050112</v>
      </c>
      <c r="T25" s="69">
        <f t="shared" si="54"/>
        <v>-0.07986311639</v>
      </c>
      <c r="U25" s="70">
        <f t="shared" si="55"/>
        <v>-0.08246149746</v>
      </c>
      <c r="V25" s="1"/>
      <c r="W25" s="68">
        <f t="shared" ref="W25:AA25" si="56">+(F25-E25)/E25</f>
        <v>0.1671351217</v>
      </c>
      <c r="X25" s="69">
        <f t="shared" si="56"/>
        <v>0.09062737946</v>
      </c>
      <c r="Y25" s="69">
        <f t="shared" si="56"/>
        <v>-0.07252683022</v>
      </c>
      <c r="Z25" s="69">
        <f t="shared" si="56"/>
        <v>0.2346124221</v>
      </c>
      <c r="AA25" s="70">
        <f t="shared" si="56"/>
        <v>0.1230751779</v>
      </c>
      <c r="AB25" s="71"/>
      <c r="AC25" s="1"/>
      <c r="AD25" s="68">
        <f t="shared" si="49"/>
        <v>0.1035897854</v>
      </c>
      <c r="AE25" s="70">
        <f t="shared" si="50"/>
        <v>-0.4160571376</v>
      </c>
      <c r="AF25" s="1"/>
      <c r="AG25" s="1"/>
    </row>
    <row r="26" ht="15.75" customHeight="1">
      <c r="A26" s="23"/>
      <c r="B26" s="90" t="s">
        <v>53</v>
      </c>
      <c r="C26" s="23" t="s">
        <v>36</v>
      </c>
      <c r="D26" s="91"/>
      <c r="E26" s="92">
        <f t="shared" ref="E26:O26" si="57">SUM(E17,E24:E25)</f>
        <v>-17.939</v>
      </c>
      <c r="F26" s="92">
        <f t="shared" si="57"/>
        <v>-149.736</v>
      </c>
      <c r="G26" s="92">
        <f t="shared" si="57"/>
        <v>93.787</v>
      </c>
      <c r="H26" s="92">
        <f t="shared" si="57"/>
        <v>-101.814</v>
      </c>
      <c r="I26" s="92">
        <f t="shared" si="57"/>
        <v>-44.152</v>
      </c>
      <c r="J26" s="92">
        <f t="shared" si="57"/>
        <v>216.192</v>
      </c>
      <c r="K26" s="93">
        <f t="shared" si="57"/>
        <v>411.0820722</v>
      </c>
      <c r="L26" s="93">
        <f t="shared" si="57"/>
        <v>467.9118437</v>
      </c>
      <c r="M26" s="93">
        <f t="shared" si="57"/>
        <v>539.6581546</v>
      </c>
      <c r="N26" s="93">
        <f t="shared" si="57"/>
        <v>564.105115</v>
      </c>
      <c r="O26" s="93">
        <f t="shared" si="57"/>
        <v>584.6007825</v>
      </c>
      <c r="P26" s="1"/>
      <c r="Q26" s="68">
        <f t="shared" si="51"/>
        <v>-0.2796352357</v>
      </c>
      <c r="R26" s="69">
        <f t="shared" si="52"/>
        <v>0.1000502454</v>
      </c>
      <c r="S26" s="69">
        <f t="shared" si="53"/>
        <v>-0.10703</v>
      </c>
      <c r="T26" s="69">
        <f t="shared" si="54"/>
        <v>-0.0499973955</v>
      </c>
      <c r="U26" s="70">
        <f t="shared" si="55"/>
        <v>0.2250778484</v>
      </c>
      <c r="V26" s="1"/>
      <c r="W26" s="68">
        <f t="shared" ref="W26:AA26" si="58">+(F26-E26)/E26</f>
        <v>7.346953565</v>
      </c>
      <c r="X26" s="69">
        <f t="shared" si="58"/>
        <v>-1.626349041</v>
      </c>
      <c r="Y26" s="69">
        <f t="shared" si="58"/>
        <v>-2.085587555</v>
      </c>
      <c r="Z26" s="69">
        <f t="shared" si="58"/>
        <v>-0.5663464749</v>
      </c>
      <c r="AA26" s="70">
        <f t="shared" si="58"/>
        <v>-5.896539228</v>
      </c>
      <c r="AB26" s="71"/>
      <c r="AC26" s="1"/>
      <c r="AD26" s="68">
        <f t="shared" si="49"/>
        <v>-2.645160516</v>
      </c>
      <c r="AE26" s="70">
        <f t="shared" si="50"/>
        <v>0.2201239572</v>
      </c>
      <c r="AF26" s="1"/>
      <c r="AG26" s="1"/>
    </row>
    <row r="27" ht="15.75" customHeight="1">
      <c r="A27" s="23"/>
      <c r="B27" s="1"/>
      <c r="C27" s="23"/>
      <c r="D27" s="2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68"/>
      <c r="R27" s="69"/>
      <c r="S27" s="69"/>
      <c r="T27" s="69"/>
      <c r="U27" s="70"/>
      <c r="V27" s="1"/>
      <c r="W27" s="68"/>
      <c r="X27" s="69"/>
      <c r="Y27" s="69"/>
      <c r="Z27" s="69"/>
      <c r="AA27" s="70"/>
      <c r="AB27" s="71"/>
      <c r="AC27" s="1"/>
      <c r="AD27" s="68" t="str">
        <f t="shared" si="49"/>
        <v/>
      </c>
      <c r="AE27" s="70" t="str">
        <f t="shared" si="50"/>
        <v/>
      </c>
      <c r="AF27" s="1"/>
      <c r="AG27" s="1"/>
    </row>
    <row r="28" ht="15.75" customHeight="1">
      <c r="A28" s="23"/>
      <c r="B28" s="36" t="s">
        <v>54</v>
      </c>
      <c r="C28" s="23" t="s">
        <v>36</v>
      </c>
      <c r="D28" s="23"/>
      <c r="E28" s="65">
        <f>-52389/1000</f>
        <v>-52.389</v>
      </c>
      <c r="F28" s="65">
        <f>-706/1000</f>
        <v>-0.706</v>
      </c>
      <c r="G28" s="65">
        <f>-53913/1000</f>
        <v>-53.913</v>
      </c>
      <c r="H28" s="65">
        <f>20132/1000</f>
        <v>20.132</v>
      </c>
      <c r="I28" s="65">
        <f>34169/1000</f>
        <v>34.169</v>
      </c>
      <c r="J28" s="65">
        <f>-(79059/1000)</f>
        <v>-79.059</v>
      </c>
      <c r="K28" s="67">
        <f>'Supuestos '!L178</f>
        <v>-121.2692113</v>
      </c>
      <c r="L28" s="67">
        <f>'Supuestos '!M178</f>
        <v>-138.0339939</v>
      </c>
      <c r="M28" s="67">
        <f>'Supuestos '!N178</f>
        <v>-159.1991556</v>
      </c>
      <c r="N28" s="67">
        <f>'Supuestos '!O178</f>
        <v>-166.4110089</v>
      </c>
      <c r="O28" s="67">
        <f>'Supuestos '!P178</f>
        <v>-172.4572308</v>
      </c>
      <c r="P28" s="1"/>
      <c r="Q28" s="68">
        <f t="shared" ref="Q28:Q29" si="61">+F28/$F$6</f>
        <v>-0.00131847035</v>
      </c>
      <c r="R28" s="69">
        <f t="shared" ref="R28:R29" si="62">+G28/$G$6</f>
        <v>-0.05751339611</v>
      </c>
      <c r="S28" s="69">
        <f t="shared" ref="S28:S29" si="63">H28/$H$6</f>
        <v>0.02116337596</v>
      </c>
      <c r="T28" s="69">
        <f t="shared" ref="T28:T29" si="64">+I28/$I$6</f>
        <v>0.03869272075</v>
      </c>
      <c r="U28" s="70">
        <f t="shared" ref="U28:U29" si="65">+J28/$J$6</f>
        <v>-0.08230845552</v>
      </c>
      <c r="V28" s="1"/>
      <c r="W28" s="68">
        <f t="shared" ref="W28:AA28" si="59">+(F28-E28)/E28</f>
        <v>-0.9865238886</v>
      </c>
      <c r="X28" s="69">
        <f t="shared" si="59"/>
        <v>75.36402266</v>
      </c>
      <c r="Y28" s="69">
        <f t="shared" si="59"/>
        <v>-1.37341643</v>
      </c>
      <c r="Z28" s="69">
        <f t="shared" si="59"/>
        <v>0.6972481621</v>
      </c>
      <c r="AA28" s="70">
        <f t="shared" si="59"/>
        <v>-3.313763938</v>
      </c>
      <c r="AB28" s="71"/>
      <c r="AC28" s="1"/>
      <c r="AD28" s="68">
        <f t="shared" si="49"/>
        <v>0.08578100976</v>
      </c>
      <c r="AE28" s="70">
        <f t="shared" si="50"/>
        <v>0.1688156508</v>
      </c>
      <c r="AF28" s="1"/>
      <c r="AG28" s="1"/>
    </row>
    <row r="29" ht="15.75" customHeight="1">
      <c r="A29" s="23"/>
      <c r="B29" s="72" t="s">
        <v>55</v>
      </c>
      <c r="C29" s="73" t="s">
        <v>36</v>
      </c>
      <c r="D29" s="73"/>
      <c r="E29" s="74">
        <f t="shared" ref="E29:O29" si="60">E26+E28</f>
        <v>-70.328</v>
      </c>
      <c r="F29" s="74">
        <f t="shared" si="60"/>
        <v>-150.442</v>
      </c>
      <c r="G29" s="74">
        <f t="shared" si="60"/>
        <v>39.874</v>
      </c>
      <c r="H29" s="74">
        <f t="shared" si="60"/>
        <v>-81.682</v>
      </c>
      <c r="I29" s="74">
        <f t="shared" si="60"/>
        <v>-9.983</v>
      </c>
      <c r="J29" s="74">
        <f t="shared" si="60"/>
        <v>137.133</v>
      </c>
      <c r="K29" s="75">
        <f t="shared" si="60"/>
        <v>289.8128609</v>
      </c>
      <c r="L29" s="75">
        <f t="shared" si="60"/>
        <v>329.8778498</v>
      </c>
      <c r="M29" s="75">
        <f t="shared" si="60"/>
        <v>380.458999</v>
      </c>
      <c r="N29" s="75">
        <f t="shared" si="60"/>
        <v>397.6941061</v>
      </c>
      <c r="O29" s="75">
        <f t="shared" si="60"/>
        <v>412.1435516</v>
      </c>
      <c r="P29" s="36"/>
      <c r="Q29" s="68">
        <f t="shared" si="61"/>
        <v>-0.280953706</v>
      </c>
      <c r="R29" s="69">
        <f t="shared" si="62"/>
        <v>0.0425368493</v>
      </c>
      <c r="S29" s="69">
        <f t="shared" si="63"/>
        <v>-0.08586662406</v>
      </c>
      <c r="T29" s="69">
        <f t="shared" si="64"/>
        <v>-0.01130467474</v>
      </c>
      <c r="U29" s="70">
        <f t="shared" si="65"/>
        <v>0.1427693929</v>
      </c>
      <c r="V29" s="1"/>
      <c r="W29" s="68">
        <f t="shared" ref="W29:AA29" si="66">+(F29-E29)/E29</f>
        <v>1.139147992</v>
      </c>
      <c r="X29" s="69">
        <f t="shared" si="66"/>
        <v>-1.265045665</v>
      </c>
      <c r="Y29" s="69">
        <f t="shared" si="66"/>
        <v>-3.048502784</v>
      </c>
      <c r="Z29" s="69">
        <f t="shared" si="66"/>
        <v>-0.8777821307</v>
      </c>
      <c r="AA29" s="70">
        <f t="shared" si="66"/>
        <v>-14.73665231</v>
      </c>
      <c r="AB29" s="71"/>
      <c r="AC29" s="1"/>
      <c r="AD29" s="68">
        <f t="shared" si="49"/>
        <v>-2.142885551</v>
      </c>
      <c r="AE29" s="70">
        <f t="shared" si="50"/>
        <v>0.2461815194</v>
      </c>
      <c r="AF29" s="1"/>
      <c r="AG29" s="1"/>
    </row>
    <row r="30" ht="15.75" customHeight="1">
      <c r="A30" s="23"/>
      <c r="B30" s="26" t="s">
        <v>56</v>
      </c>
      <c r="C30" s="23" t="s">
        <v>32</v>
      </c>
      <c r="D30" s="23"/>
      <c r="E30" s="76">
        <f t="shared" ref="E30:O30" si="67">IFERROR(E29/E$6,"")</f>
        <v>-0.0945805282</v>
      </c>
      <c r="F30" s="76">
        <f t="shared" si="67"/>
        <v>-0.280953706</v>
      </c>
      <c r="G30" s="76">
        <f t="shared" si="67"/>
        <v>0.0425368493</v>
      </c>
      <c r="H30" s="76">
        <f t="shared" si="67"/>
        <v>-0.08586662406</v>
      </c>
      <c r="I30" s="76">
        <f t="shared" si="67"/>
        <v>-0.01130467474</v>
      </c>
      <c r="J30" s="76">
        <f t="shared" si="67"/>
        <v>0.1427693929</v>
      </c>
      <c r="K30" s="77">
        <f t="shared" si="67"/>
        <v>0.314236922</v>
      </c>
      <c r="L30" s="77">
        <f t="shared" si="67"/>
        <v>0.309564391</v>
      </c>
      <c r="M30" s="77">
        <f t="shared" si="67"/>
        <v>0.3216510257</v>
      </c>
      <c r="N30" s="77">
        <f t="shared" si="67"/>
        <v>0.336222083</v>
      </c>
      <c r="O30" s="77">
        <f t="shared" si="67"/>
        <v>0.3374542589</v>
      </c>
      <c r="P30" s="1"/>
      <c r="Q30" s="63"/>
      <c r="R30" s="64"/>
      <c r="S30" s="64"/>
      <c r="T30" s="69"/>
      <c r="U30" s="62"/>
      <c r="V30" s="1"/>
      <c r="W30" s="63"/>
      <c r="X30" s="64"/>
      <c r="Y30" s="64"/>
      <c r="Z30" s="64"/>
      <c r="AA30" s="62"/>
      <c r="AB30" s="71"/>
      <c r="AC30" s="1"/>
      <c r="AD30" s="68">
        <f t="shared" si="49"/>
        <v>-2.085842099</v>
      </c>
      <c r="AE30" s="70">
        <f t="shared" si="50"/>
        <v>0.1877251704</v>
      </c>
      <c r="AF30" s="1"/>
      <c r="AG30" s="1"/>
    </row>
    <row r="31" ht="15.75" customHeight="1">
      <c r="A31" s="23"/>
      <c r="B31" s="1"/>
      <c r="C31" s="23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63"/>
      <c r="R31" s="64"/>
      <c r="S31" s="64"/>
      <c r="T31" s="69"/>
      <c r="U31" s="62"/>
      <c r="V31" s="1"/>
      <c r="W31" s="68"/>
      <c r="X31" s="64"/>
      <c r="Y31" s="64"/>
      <c r="Z31" s="64"/>
      <c r="AA31" s="62"/>
      <c r="AB31" s="1"/>
      <c r="AC31" s="1"/>
      <c r="AD31" s="68" t="str">
        <f t="shared" si="49"/>
        <v/>
      </c>
      <c r="AE31" s="70" t="str">
        <f t="shared" si="50"/>
        <v/>
      </c>
      <c r="AF31" s="1"/>
      <c r="AG31" s="1"/>
    </row>
    <row r="32" ht="15.75" customHeight="1">
      <c r="A32" s="23" t="s">
        <v>33</v>
      </c>
      <c r="B32" s="57" t="s">
        <v>57</v>
      </c>
      <c r="C32" s="58"/>
      <c r="D32" s="58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9"/>
      <c r="Q32" s="60"/>
      <c r="R32" s="61"/>
      <c r="S32" s="61"/>
      <c r="T32" s="69"/>
      <c r="U32" s="62"/>
      <c r="V32" s="1"/>
      <c r="W32" s="63"/>
      <c r="X32" s="64"/>
      <c r="Y32" s="64"/>
      <c r="Z32" s="64"/>
      <c r="AA32" s="62"/>
      <c r="AB32" s="1"/>
      <c r="AC32" s="1"/>
      <c r="AD32" s="68" t="str">
        <f t="shared" si="49"/>
        <v/>
      </c>
      <c r="AE32" s="70" t="str">
        <f t="shared" si="50"/>
        <v/>
      </c>
      <c r="AF32" s="1"/>
      <c r="AG32" s="1"/>
    </row>
    <row r="33" ht="15.75" customHeight="1">
      <c r="A33" s="23"/>
      <c r="B33" s="94" t="s">
        <v>58</v>
      </c>
      <c r="C33" s="23"/>
      <c r="D33" s="2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63"/>
      <c r="R33" s="64"/>
      <c r="S33" s="64"/>
      <c r="T33" s="69"/>
      <c r="U33" s="62"/>
      <c r="V33" s="1"/>
      <c r="W33" s="63"/>
      <c r="X33" s="64"/>
      <c r="Y33" s="64"/>
      <c r="Z33" s="64"/>
      <c r="AA33" s="62"/>
      <c r="AB33" s="1"/>
      <c r="AC33" s="1"/>
      <c r="AD33" s="68" t="str">
        <f t="shared" si="49"/>
        <v/>
      </c>
      <c r="AE33" s="70" t="str">
        <f t="shared" si="50"/>
        <v/>
      </c>
      <c r="AF33" s="1"/>
      <c r="AG33" s="1"/>
    </row>
    <row r="34" ht="15.75" customHeight="1">
      <c r="A34" s="23"/>
      <c r="B34" s="26" t="s">
        <v>59</v>
      </c>
      <c r="C34" s="23"/>
      <c r="D34" s="2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63"/>
      <c r="R34" s="64"/>
      <c r="S34" s="64"/>
      <c r="T34" s="69"/>
      <c r="U34" s="62"/>
      <c r="V34" s="1"/>
      <c r="W34" s="63"/>
      <c r="X34" s="64"/>
      <c r="Y34" s="64"/>
      <c r="Z34" s="64"/>
      <c r="AA34" s="62"/>
      <c r="AB34" s="1"/>
      <c r="AC34" s="1"/>
      <c r="AD34" s="68" t="str">
        <f t="shared" si="49"/>
        <v/>
      </c>
      <c r="AE34" s="70" t="str">
        <f t="shared" si="50"/>
        <v/>
      </c>
      <c r="AF34" s="1"/>
      <c r="AG34" s="1"/>
    </row>
    <row r="35" ht="15.75" customHeight="1">
      <c r="A35" s="23"/>
      <c r="B35" s="36" t="s">
        <v>60</v>
      </c>
      <c r="C35" s="23" t="s">
        <v>36</v>
      </c>
      <c r="D35" s="23"/>
      <c r="E35" s="65">
        <v>0.0</v>
      </c>
      <c r="F35" s="65">
        <v>0.0</v>
      </c>
      <c r="G35" s="65">
        <v>0.0</v>
      </c>
      <c r="H35" s="65">
        <v>0.0</v>
      </c>
      <c r="I35" s="65">
        <v>0.0</v>
      </c>
      <c r="J35" s="65">
        <v>0.0</v>
      </c>
      <c r="K35" s="95">
        <f t="shared" ref="K35:O35" si="68">K141</f>
        <v>83.92148941</v>
      </c>
      <c r="L35" s="95">
        <f t="shared" si="68"/>
        <v>175.1166861</v>
      </c>
      <c r="M35" s="95">
        <f t="shared" si="68"/>
        <v>288.9467552</v>
      </c>
      <c r="N35" s="95">
        <f t="shared" si="68"/>
        <v>653.615907</v>
      </c>
      <c r="O35" s="95">
        <f t="shared" si="68"/>
        <v>568.8882214</v>
      </c>
      <c r="P35" s="1"/>
      <c r="Q35" s="63"/>
      <c r="R35" s="64"/>
      <c r="S35" s="64"/>
      <c r="T35" s="69"/>
      <c r="U35" s="62"/>
      <c r="V35" s="1"/>
      <c r="W35" s="63"/>
      <c r="X35" s="64"/>
      <c r="Y35" s="64"/>
      <c r="Z35" s="64"/>
      <c r="AA35" s="62"/>
      <c r="AB35" s="1"/>
      <c r="AC35" s="1"/>
      <c r="AD35" s="68" t="str">
        <f t="shared" si="49"/>
        <v/>
      </c>
      <c r="AE35" s="70" t="str">
        <f t="shared" si="50"/>
        <v/>
      </c>
      <c r="AF35" s="1"/>
      <c r="AG35" s="1"/>
    </row>
    <row r="36" ht="15.75" customHeight="1">
      <c r="A36" s="96"/>
      <c r="B36" s="36" t="s">
        <v>61</v>
      </c>
      <c r="C36" s="23" t="s">
        <v>36</v>
      </c>
      <c r="D36" s="23"/>
      <c r="E36" s="65">
        <f>33828/1000</f>
        <v>33.828</v>
      </c>
      <c r="F36" s="65">
        <f>114646/1000</f>
        <v>114.646</v>
      </c>
      <c r="G36" s="65">
        <f>231187/1000</f>
        <v>231.187</v>
      </c>
      <c r="H36" s="65">
        <f>73600/1000</f>
        <v>73.6</v>
      </c>
      <c r="I36" s="65">
        <f>61642/1000</f>
        <v>61.642</v>
      </c>
      <c r="J36" s="65">
        <f>(155834/1000)</f>
        <v>155.834</v>
      </c>
      <c r="K36" s="67">
        <f>'Supuestos '!L185</f>
        <v>149.6290078</v>
      </c>
      <c r="L36" s="67">
        <f>'Supuestos '!M185</f>
        <v>172.8850783</v>
      </c>
      <c r="M36" s="67">
        <f>'Supuestos '!N185</f>
        <v>191.901458</v>
      </c>
      <c r="N36" s="67">
        <f>'Supuestos '!O185</f>
        <v>191.901458</v>
      </c>
      <c r="O36" s="67">
        <f>'Supuestos '!P185</f>
        <v>198.1476608</v>
      </c>
      <c r="P36" s="1"/>
      <c r="Q36" s="68">
        <f t="shared" ref="Q36:Q42" si="70">+F36/$F$53</f>
        <v>0.05530593717</v>
      </c>
      <c r="R36" s="69">
        <f t="shared" ref="R36:R42" si="71">+G36/$G$53</f>
        <v>0.1067486781</v>
      </c>
      <c r="S36" s="69">
        <f t="shared" ref="S36:S42" si="72">H36/$H$53</f>
        <v>0.03724907485</v>
      </c>
      <c r="T36" s="69">
        <f t="shared" ref="T36:T42" si="73">I36/$I$53</f>
        <v>0.03287266522</v>
      </c>
      <c r="U36" s="70">
        <f t="shared" ref="U36:U42" si="74">J36/$J$53</f>
        <v>0.08465438885</v>
      </c>
      <c r="V36" s="1"/>
      <c r="W36" s="68">
        <f t="shared" ref="W36:AA36" si="69">+(F36-E36)/E36</f>
        <v>2.389085964</v>
      </c>
      <c r="X36" s="69">
        <f t="shared" si="69"/>
        <v>1.016529142</v>
      </c>
      <c r="Y36" s="69">
        <f t="shared" si="69"/>
        <v>-0.681642999</v>
      </c>
      <c r="Z36" s="69">
        <f t="shared" si="69"/>
        <v>-0.1624728261</v>
      </c>
      <c r="AA36" s="70">
        <f t="shared" si="69"/>
        <v>1.528049057</v>
      </c>
      <c r="AB36" s="1"/>
      <c r="AC36" s="1"/>
      <c r="AD36" s="68">
        <f t="shared" si="49"/>
        <v>0.3573041573</v>
      </c>
      <c r="AE36" s="70">
        <f t="shared" si="50"/>
        <v>0.0492170667</v>
      </c>
      <c r="AF36" s="1"/>
      <c r="AG36" s="1"/>
    </row>
    <row r="37" ht="15.0" customHeight="1">
      <c r="A37" s="97" t="s">
        <v>62</v>
      </c>
      <c r="B37" s="98" t="s">
        <v>63</v>
      </c>
      <c r="C37" s="23" t="s">
        <v>36</v>
      </c>
      <c r="D37" s="23"/>
      <c r="E37" s="65">
        <f>36159/1000</f>
        <v>36.159</v>
      </c>
      <c r="F37" s="65">
        <f>28781/1000</f>
        <v>28.781</v>
      </c>
      <c r="G37" s="65">
        <f>43806/1000</f>
        <v>43.806</v>
      </c>
      <c r="H37" s="65">
        <f>28586/1000</f>
        <v>28.586</v>
      </c>
      <c r="I37" s="65">
        <f>(20316/1000)</f>
        <v>20.316</v>
      </c>
      <c r="J37" s="65">
        <f>(33477/1000)</f>
        <v>33.477</v>
      </c>
      <c r="K37" s="67">
        <f>'Supuestos '!L194</f>
        <v>27.0254637</v>
      </c>
      <c r="L37" s="67">
        <f>'Supuestos '!M194</f>
        <v>31.22589315</v>
      </c>
      <c r="M37" s="67">
        <f>'Supuestos '!N194</f>
        <v>34.66056459</v>
      </c>
      <c r="N37" s="67">
        <f>'Supuestos '!O194</f>
        <v>34.66056459</v>
      </c>
      <c r="O37" s="67">
        <f>'Supuestos '!P194</f>
        <v>35.78873171</v>
      </c>
      <c r="P37" s="1"/>
      <c r="Q37" s="68">
        <f t="shared" si="70"/>
        <v>0.01388413183</v>
      </c>
      <c r="R37" s="69">
        <f t="shared" si="71"/>
        <v>0.02022705686</v>
      </c>
      <c r="S37" s="69">
        <f t="shared" si="72"/>
        <v>0.01446741921</v>
      </c>
      <c r="T37" s="69">
        <f t="shared" si="73"/>
        <v>0.01083418881</v>
      </c>
      <c r="U37" s="70">
        <f t="shared" si="74"/>
        <v>0.01818585787</v>
      </c>
      <c r="V37" s="1"/>
      <c r="W37" s="68">
        <f t="shared" ref="W37:AA37" si="75">+(F37-E37)/E37</f>
        <v>-0.2040432534</v>
      </c>
      <c r="X37" s="69">
        <f t="shared" si="75"/>
        <v>0.5220457941</v>
      </c>
      <c r="Y37" s="69">
        <f t="shared" si="75"/>
        <v>-0.3474409898</v>
      </c>
      <c r="Z37" s="69">
        <f t="shared" si="75"/>
        <v>-0.2893024557</v>
      </c>
      <c r="AA37" s="70">
        <f t="shared" si="75"/>
        <v>0.6478145304</v>
      </c>
      <c r="AB37" s="1"/>
      <c r="AC37" s="1"/>
      <c r="AD37" s="68">
        <f t="shared" si="49"/>
        <v>-0.01529526964</v>
      </c>
      <c r="AE37" s="70">
        <f t="shared" si="50"/>
        <v>0.01344446514</v>
      </c>
      <c r="AF37" s="1"/>
      <c r="AG37" s="1"/>
    </row>
    <row r="38" ht="15.75" customHeight="1">
      <c r="A38" s="96" t="s">
        <v>62</v>
      </c>
      <c r="B38" s="36" t="s">
        <v>64</v>
      </c>
      <c r="C38" s="23" t="s">
        <v>36</v>
      </c>
      <c r="D38" s="23"/>
      <c r="E38" s="65">
        <f>65344/1000</f>
        <v>65.344</v>
      </c>
      <c r="F38" s="99">
        <f>89530/1000</f>
        <v>89.53</v>
      </c>
      <c r="G38" s="65">
        <f>55971/1000</f>
        <v>55.971</v>
      </c>
      <c r="H38" s="65">
        <f>65389/1000</f>
        <v>65.389</v>
      </c>
      <c r="I38" s="65">
        <f>77038/1000</f>
        <v>77.038</v>
      </c>
      <c r="J38" s="65">
        <f>67424/1000</f>
        <v>67.424</v>
      </c>
      <c r="K38" s="67">
        <f>'Supuestos '!L195</f>
        <v>0.1773679829</v>
      </c>
      <c r="L38" s="67">
        <f>'Supuestos '!M195</f>
        <v>0.2049353803</v>
      </c>
      <c r="M38" s="67">
        <f>'Supuestos '!N195</f>
        <v>0.2274771117</v>
      </c>
      <c r="N38" s="67">
        <f>'Supuestos '!O195</f>
        <v>0.2274771117</v>
      </c>
      <c r="O38" s="67">
        <f>'Supuestos '!P195</f>
        <v>0.2348812669</v>
      </c>
      <c r="P38" s="1"/>
      <c r="Q38" s="68">
        <f t="shared" si="70"/>
        <v>0.04318982393</v>
      </c>
      <c r="R38" s="69">
        <f t="shared" si="71"/>
        <v>0.02584414463</v>
      </c>
      <c r="S38" s="69">
        <f t="shared" si="72"/>
        <v>0.03309347493</v>
      </c>
      <c r="T38" s="69">
        <f t="shared" si="73"/>
        <v>0.04108309891</v>
      </c>
      <c r="U38" s="70">
        <f t="shared" si="74"/>
        <v>0.03662703591</v>
      </c>
      <c r="V38" s="1"/>
      <c r="W38" s="68">
        <f t="shared" ref="W38:AA38" si="76">+(F38-E38)/E38</f>
        <v>0.3701334476</v>
      </c>
      <c r="X38" s="69">
        <f t="shared" si="76"/>
        <v>-0.3748352508</v>
      </c>
      <c r="Y38" s="69">
        <f t="shared" si="76"/>
        <v>0.168265709</v>
      </c>
      <c r="Z38" s="69">
        <f t="shared" si="76"/>
        <v>0.17814923</v>
      </c>
      <c r="AA38" s="70">
        <f t="shared" si="76"/>
        <v>-0.1247955554</v>
      </c>
      <c r="AB38" s="1"/>
      <c r="AC38" s="1"/>
      <c r="AD38" s="68">
        <f t="shared" si="49"/>
        <v>0.00628676227</v>
      </c>
      <c r="AE38" s="70">
        <f t="shared" si="50"/>
        <v>-0.6775912845</v>
      </c>
      <c r="AF38" s="1"/>
      <c r="AG38" s="1"/>
    </row>
    <row r="39" ht="15.75" customHeight="1">
      <c r="A39" s="96" t="s">
        <v>62</v>
      </c>
      <c r="B39" s="100" t="s">
        <v>65</v>
      </c>
      <c r="C39" s="23" t="s">
        <v>36</v>
      </c>
      <c r="D39" s="23"/>
      <c r="E39" s="65">
        <f>5416/1000</f>
        <v>5.416</v>
      </c>
      <c r="F39" s="65">
        <f>223/1000</f>
        <v>0.223</v>
      </c>
      <c r="G39" s="65">
        <v>0.0</v>
      </c>
      <c r="H39" s="65">
        <v>0.0</v>
      </c>
      <c r="I39" s="65">
        <f>655/1000</f>
        <v>0.655</v>
      </c>
      <c r="J39" s="65">
        <f>948/1000</f>
        <v>0.948</v>
      </c>
      <c r="K39" s="67">
        <f>'Supuestos '!L196</f>
        <v>0.002183999634</v>
      </c>
      <c r="L39" s="67">
        <f>'Supuestos '!M196</f>
        <v>0.002523447515</v>
      </c>
      <c r="M39" s="67">
        <f>'Supuestos '!N196</f>
        <v>0.002801012453</v>
      </c>
      <c r="N39" s="67">
        <f>'Supuestos '!O196</f>
        <v>0.002801012453</v>
      </c>
      <c r="O39" s="67">
        <f>'Supuestos '!P196</f>
        <v>0.002892182641</v>
      </c>
      <c r="P39" s="1"/>
      <c r="Q39" s="68">
        <f t="shared" si="70"/>
        <v>0.0001075765747</v>
      </c>
      <c r="R39" s="69">
        <f t="shared" si="71"/>
        <v>0</v>
      </c>
      <c r="S39" s="69">
        <f t="shared" si="72"/>
        <v>0</v>
      </c>
      <c r="T39" s="69">
        <f t="shared" si="73"/>
        <v>0.0003493007319</v>
      </c>
      <c r="U39" s="70">
        <f t="shared" si="74"/>
        <v>0.0005149862073</v>
      </c>
      <c r="V39" s="1"/>
      <c r="W39" s="68">
        <f t="shared" ref="W39:X39" si="77">+(F39-E39)/E39</f>
        <v>-0.9588257016</v>
      </c>
      <c r="X39" s="69">
        <f t="shared" si="77"/>
        <v>-1</v>
      </c>
      <c r="Y39" s="69">
        <v>0.0</v>
      </c>
      <c r="Z39" s="69">
        <v>0.0</v>
      </c>
      <c r="AA39" s="70">
        <f>+(J39-I39)/I39</f>
        <v>0.4473282443</v>
      </c>
      <c r="AB39" s="1"/>
      <c r="AC39" s="1"/>
      <c r="AD39" s="68">
        <f t="shared" si="49"/>
        <v>-0.2942905446</v>
      </c>
      <c r="AE39" s="70">
        <f t="shared" si="50"/>
        <v>-0.6860333815</v>
      </c>
      <c r="AF39" s="1"/>
      <c r="AG39" s="1"/>
    </row>
    <row r="40" ht="15.75" customHeight="1">
      <c r="A40" s="97" t="s">
        <v>62</v>
      </c>
      <c r="B40" s="98" t="s">
        <v>66</v>
      </c>
      <c r="C40" s="23" t="s">
        <v>36</v>
      </c>
      <c r="D40" s="23"/>
      <c r="E40" s="65">
        <f>36709/1000</f>
        <v>36.709</v>
      </c>
      <c r="F40" s="65">
        <f>60961/1000</f>
        <v>60.961</v>
      </c>
      <c r="G40" s="65">
        <f>59824/1000</f>
        <v>59.824</v>
      </c>
      <c r="H40" s="65">
        <f>57093/1000</f>
        <v>57.093</v>
      </c>
      <c r="I40" s="65">
        <f>48305/1000</f>
        <v>48.305</v>
      </c>
      <c r="J40" s="65">
        <f>38070/1000</f>
        <v>38.07</v>
      </c>
      <c r="K40" s="67">
        <f>'Supuestos '!L197</f>
        <v>47.45193307</v>
      </c>
      <c r="L40" s="67">
        <f>'Supuestos '!M197</f>
        <v>54.82714406</v>
      </c>
      <c r="M40" s="67">
        <f>'Supuestos '!N197</f>
        <v>60.85781946</v>
      </c>
      <c r="N40" s="67">
        <f>'Supuestos '!O197</f>
        <v>60.85781946</v>
      </c>
      <c r="O40" s="67">
        <f>'Supuestos '!P197</f>
        <v>62.83868135</v>
      </c>
      <c r="P40" s="1"/>
      <c r="Q40" s="68">
        <f t="shared" si="70"/>
        <v>0.02940796221</v>
      </c>
      <c r="R40" s="69">
        <f t="shared" si="71"/>
        <v>0.0276232354</v>
      </c>
      <c r="S40" s="69">
        <f t="shared" si="72"/>
        <v>0.02889485639</v>
      </c>
      <c r="T40" s="69">
        <f t="shared" si="73"/>
        <v>0.02576026238</v>
      </c>
      <c r="U40" s="70">
        <f t="shared" si="74"/>
        <v>0.02068093345</v>
      </c>
      <c r="V40" s="1"/>
      <c r="W40" s="68">
        <f t="shared" ref="W40:AA40" si="78">+(F40-E40)/E40</f>
        <v>0.6606554251</v>
      </c>
      <c r="X40" s="69">
        <f t="shared" si="78"/>
        <v>-0.01865126884</v>
      </c>
      <c r="Y40" s="69">
        <f t="shared" si="78"/>
        <v>-0.04565057502</v>
      </c>
      <c r="Z40" s="69">
        <f t="shared" si="78"/>
        <v>-0.153924299</v>
      </c>
      <c r="AA40" s="70">
        <f t="shared" si="78"/>
        <v>-0.2118828279</v>
      </c>
      <c r="AB40" s="1"/>
      <c r="AC40" s="1"/>
      <c r="AD40" s="68">
        <f t="shared" si="49"/>
        <v>0.007307493123</v>
      </c>
      <c r="AE40" s="70">
        <f t="shared" si="50"/>
        <v>0.1054238673</v>
      </c>
      <c r="AF40" s="1"/>
      <c r="AG40" s="1"/>
    </row>
    <row r="41" ht="15.75" customHeight="1">
      <c r="A41" s="101" t="s">
        <v>62</v>
      </c>
      <c r="B41" s="100" t="s">
        <v>67</v>
      </c>
      <c r="C41" s="80" t="s">
        <v>36</v>
      </c>
      <c r="D41" s="23"/>
      <c r="E41" s="65">
        <f>301986/1000</f>
        <v>301.986</v>
      </c>
      <c r="F41" s="65">
        <f>0/1000</f>
        <v>0</v>
      </c>
      <c r="G41" s="65">
        <v>0.0</v>
      </c>
      <c r="H41" s="65">
        <v>0.0</v>
      </c>
      <c r="I41" s="65">
        <f t="shared" ref="I41:J41" si="79">0/1000</f>
        <v>0</v>
      </c>
      <c r="J41" s="65">
        <f t="shared" si="79"/>
        <v>0</v>
      </c>
      <c r="K41" s="67">
        <f>'Supuestos '!L198</f>
        <v>0</v>
      </c>
      <c r="L41" s="67">
        <f>'Supuestos '!M198</f>
        <v>0</v>
      </c>
      <c r="M41" s="67">
        <f>'Supuestos '!N198</f>
        <v>0</v>
      </c>
      <c r="N41" s="67">
        <f>'Supuestos '!O198</f>
        <v>0</v>
      </c>
      <c r="O41" s="67">
        <f>'Supuestos '!P198</f>
        <v>0</v>
      </c>
      <c r="P41" s="1"/>
      <c r="Q41" s="68">
        <f t="shared" si="70"/>
        <v>0</v>
      </c>
      <c r="R41" s="69">
        <f t="shared" si="71"/>
        <v>0</v>
      </c>
      <c r="S41" s="69">
        <f t="shared" si="72"/>
        <v>0</v>
      </c>
      <c r="T41" s="69">
        <f t="shared" si="73"/>
        <v>0</v>
      </c>
      <c r="U41" s="70">
        <f t="shared" si="74"/>
        <v>0</v>
      </c>
      <c r="V41" s="1"/>
      <c r="W41" s="68">
        <f t="shared" ref="W41:W42" si="82">+(F41-E41)/E41</f>
        <v>-1</v>
      </c>
      <c r="X41" s="69" t="str">
        <f t="shared" ref="X41:AA41" si="80">IFERROR((G41-F41)/F41,"-")</f>
        <v>-</v>
      </c>
      <c r="Y41" s="69" t="str">
        <f t="shared" si="80"/>
        <v>-</v>
      </c>
      <c r="Z41" s="69" t="str">
        <f t="shared" si="80"/>
        <v>-</v>
      </c>
      <c r="AA41" s="70" t="str">
        <f t="shared" si="80"/>
        <v>-</v>
      </c>
      <c r="AB41" s="1"/>
      <c r="AC41" s="1"/>
      <c r="AD41" s="68">
        <f t="shared" si="49"/>
        <v>-1</v>
      </c>
      <c r="AE41" s="70" t="str">
        <f t="shared" si="50"/>
        <v/>
      </c>
      <c r="AF41" s="1"/>
      <c r="AG41" s="1"/>
    </row>
    <row r="42" ht="15.75" customHeight="1">
      <c r="A42" s="23"/>
      <c r="B42" s="82" t="s">
        <v>68</v>
      </c>
      <c r="C42" s="23" t="s">
        <v>36</v>
      </c>
      <c r="D42" s="83"/>
      <c r="E42" s="84">
        <f t="shared" ref="E42:O42" si="81">SUM(E35:E41)</f>
        <v>479.442</v>
      </c>
      <c r="F42" s="84">
        <f t="shared" si="81"/>
        <v>294.141</v>
      </c>
      <c r="G42" s="84">
        <f t="shared" si="81"/>
        <v>390.788</v>
      </c>
      <c r="H42" s="84">
        <f t="shared" si="81"/>
        <v>224.668</v>
      </c>
      <c r="I42" s="84">
        <f t="shared" si="81"/>
        <v>207.956</v>
      </c>
      <c r="J42" s="84">
        <f t="shared" si="81"/>
        <v>295.753</v>
      </c>
      <c r="K42" s="85">
        <f t="shared" si="81"/>
        <v>308.2074459</v>
      </c>
      <c r="L42" s="85">
        <f t="shared" si="81"/>
        <v>434.2622604</v>
      </c>
      <c r="M42" s="85">
        <f t="shared" si="81"/>
        <v>576.5968753</v>
      </c>
      <c r="N42" s="85">
        <f t="shared" si="81"/>
        <v>941.2660271</v>
      </c>
      <c r="O42" s="85">
        <f t="shared" si="81"/>
        <v>865.9010687</v>
      </c>
      <c r="P42" s="36"/>
      <c r="Q42" s="68">
        <f t="shared" si="70"/>
        <v>0.1418954317</v>
      </c>
      <c r="R42" s="69">
        <f t="shared" si="71"/>
        <v>0.180443115</v>
      </c>
      <c r="S42" s="69">
        <f t="shared" si="72"/>
        <v>0.1137048254</v>
      </c>
      <c r="T42" s="69">
        <f t="shared" si="73"/>
        <v>0.110899516</v>
      </c>
      <c r="U42" s="70">
        <f t="shared" si="74"/>
        <v>0.1606632023</v>
      </c>
      <c r="V42" s="1"/>
      <c r="W42" s="68">
        <f t="shared" si="82"/>
        <v>-0.3864930482</v>
      </c>
      <c r="X42" s="69">
        <f t="shared" ref="X42:AA42" si="83">+(G42-F42)/F42</f>
        <v>0.3285737112</v>
      </c>
      <c r="Y42" s="69">
        <f t="shared" si="83"/>
        <v>-0.4250898185</v>
      </c>
      <c r="Z42" s="69">
        <f t="shared" si="83"/>
        <v>-0.07438531522</v>
      </c>
      <c r="AA42" s="70">
        <f t="shared" si="83"/>
        <v>0.422190271</v>
      </c>
      <c r="AB42" s="1"/>
      <c r="AC42" s="1"/>
      <c r="AD42" s="68">
        <f t="shared" si="49"/>
        <v>-0.09209874494</v>
      </c>
      <c r="AE42" s="70">
        <f t="shared" si="50"/>
        <v>0.2396749439</v>
      </c>
      <c r="AF42" s="1"/>
      <c r="AG42" s="1"/>
    </row>
    <row r="43" ht="15.75" customHeight="1">
      <c r="A43" s="23"/>
      <c r="B43" s="1"/>
      <c r="C43" s="23"/>
      <c r="D43" s="2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68"/>
      <c r="R43" s="69"/>
      <c r="S43" s="69"/>
      <c r="T43" s="69"/>
      <c r="U43" s="70"/>
      <c r="V43" s="1"/>
      <c r="W43" s="68"/>
      <c r="X43" s="69"/>
      <c r="Y43" s="64"/>
      <c r="Z43" s="64"/>
      <c r="AA43" s="62"/>
      <c r="AB43" s="1"/>
      <c r="AC43" s="1"/>
      <c r="AD43" s="68" t="str">
        <f t="shared" si="49"/>
        <v/>
      </c>
      <c r="AE43" s="70" t="str">
        <f t="shared" si="50"/>
        <v/>
      </c>
      <c r="AF43" s="1"/>
      <c r="AG43" s="1"/>
    </row>
    <row r="44" ht="15.75" customHeight="1">
      <c r="A44" s="23"/>
      <c r="B44" s="26" t="s">
        <v>69</v>
      </c>
      <c r="C44" s="23"/>
      <c r="D44" s="2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68"/>
      <c r="R44" s="69"/>
      <c r="S44" s="69"/>
      <c r="T44" s="69"/>
      <c r="U44" s="70"/>
      <c r="V44" s="1"/>
      <c r="W44" s="68"/>
      <c r="X44" s="69"/>
      <c r="Y44" s="64"/>
      <c r="Z44" s="64"/>
      <c r="AA44" s="62"/>
      <c r="AB44" s="1"/>
      <c r="AC44" s="1"/>
      <c r="AD44" s="68" t="str">
        <f t="shared" si="49"/>
        <v/>
      </c>
      <c r="AE44" s="70" t="str">
        <f t="shared" si="50"/>
        <v/>
      </c>
      <c r="AF44" s="1"/>
      <c r="AG44" s="1"/>
    </row>
    <row r="45" ht="15.75" customHeight="1">
      <c r="A45" s="101" t="s">
        <v>70</v>
      </c>
      <c r="B45" s="36" t="s">
        <v>71</v>
      </c>
      <c r="C45" s="23" t="s">
        <v>36</v>
      </c>
      <c r="D45" s="23"/>
      <c r="E45" s="65">
        <f>193794/1000</f>
        <v>193.794</v>
      </c>
      <c r="F45" s="65">
        <f>195346/1000</f>
        <v>195.346</v>
      </c>
      <c r="G45" s="65">
        <f>187751/1000</f>
        <v>187.751</v>
      </c>
      <c r="H45" s="65">
        <f>(147801+38704)/1000</f>
        <v>186.505</v>
      </c>
      <c r="I45" s="65">
        <f>((148118+37158)/1000)</f>
        <v>185.276</v>
      </c>
      <c r="J45" s="65">
        <f>153047/1000</f>
        <v>153.047</v>
      </c>
      <c r="K45" s="79">
        <f t="shared" ref="K45:O45" si="84">J45</f>
        <v>153.047</v>
      </c>
      <c r="L45" s="79">
        <f t="shared" si="84"/>
        <v>153.047</v>
      </c>
      <c r="M45" s="79">
        <f t="shared" si="84"/>
        <v>153.047</v>
      </c>
      <c r="N45" s="79">
        <f t="shared" si="84"/>
        <v>153.047</v>
      </c>
      <c r="O45" s="79">
        <f t="shared" si="84"/>
        <v>153.047</v>
      </c>
      <c r="P45" s="1"/>
      <c r="Q45" s="68">
        <f t="shared" ref="Q45:Q51" si="87">+F45/$F$53</f>
        <v>0.09423611466</v>
      </c>
      <c r="R45" s="69">
        <f t="shared" ref="R45:R51" si="88">+G45/$G$53</f>
        <v>0.08669246571</v>
      </c>
      <c r="S45" s="69">
        <f t="shared" ref="S45:S51" si="89">H45/$H$53</f>
        <v>0.09439047152</v>
      </c>
      <c r="T45" s="69">
        <f t="shared" ref="T45:T51" si="90">I45/$I$53</f>
        <v>0.0988046449</v>
      </c>
      <c r="U45" s="70">
        <f t="shared" ref="U45:U51" si="91">J45/$J$53</f>
        <v>0.08314039458</v>
      </c>
      <c r="V45" s="1"/>
      <c r="W45" s="68">
        <f t="shared" ref="W45:AA45" si="85">+(F45-E45)/E45</f>
        <v>0.008008503875</v>
      </c>
      <c r="X45" s="69">
        <f t="shared" si="85"/>
        <v>-0.03887973135</v>
      </c>
      <c r="Y45" s="69">
        <f t="shared" si="85"/>
        <v>-0.00663644934</v>
      </c>
      <c r="Z45" s="69">
        <f t="shared" si="85"/>
        <v>-0.006589635667</v>
      </c>
      <c r="AA45" s="70">
        <f t="shared" si="85"/>
        <v>-0.1739512943</v>
      </c>
      <c r="AB45" s="1"/>
      <c r="AC45" s="1"/>
      <c r="AD45" s="68">
        <f t="shared" si="49"/>
        <v>-0.04611306859</v>
      </c>
      <c r="AE45" s="70">
        <f t="shared" si="50"/>
        <v>0</v>
      </c>
      <c r="AF45" s="1"/>
      <c r="AG45" s="1"/>
    </row>
    <row r="46" ht="15.75" customHeight="1">
      <c r="A46" s="96" t="s">
        <v>62</v>
      </c>
      <c r="B46" s="36" t="s">
        <v>72</v>
      </c>
      <c r="C46" s="23"/>
      <c r="D46" s="23"/>
      <c r="E46" s="65">
        <v>0.0</v>
      </c>
      <c r="F46" s="65">
        <f>7077/1000</f>
        <v>7.077</v>
      </c>
      <c r="G46" s="65">
        <f>6642/1000</f>
        <v>6.642</v>
      </c>
      <c r="H46" s="65">
        <f>6218/1000</f>
        <v>6.218</v>
      </c>
      <c r="I46" s="65">
        <f>5619/1000</f>
        <v>5.619</v>
      </c>
      <c r="J46" s="65">
        <f>5180/1000</f>
        <v>5.18</v>
      </c>
      <c r="K46" s="79">
        <f t="shared" ref="K46:O46" si="86">J46</f>
        <v>5.18</v>
      </c>
      <c r="L46" s="79">
        <f t="shared" si="86"/>
        <v>5.18</v>
      </c>
      <c r="M46" s="79">
        <f t="shared" si="86"/>
        <v>5.18</v>
      </c>
      <c r="N46" s="79">
        <f t="shared" si="86"/>
        <v>5.18</v>
      </c>
      <c r="O46" s="79">
        <f t="shared" si="86"/>
        <v>5.18</v>
      </c>
      <c r="P46" s="1"/>
      <c r="Q46" s="68">
        <f t="shared" si="87"/>
        <v>0.003413988428</v>
      </c>
      <c r="R46" s="69">
        <f t="shared" si="88"/>
        <v>0.003066888364</v>
      </c>
      <c r="S46" s="69">
        <f t="shared" si="89"/>
        <v>0.003146939503</v>
      </c>
      <c r="T46" s="69">
        <f t="shared" si="90"/>
        <v>0.002996520325</v>
      </c>
      <c r="U46" s="70">
        <f t="shared" si="91"/>
        <v>0.002813954171</v>
      </c>
      <c r="V46" s="1"/>
      <c r="W46" s="68" t="str">
        <f>IFERROR((F46-E46)/E46,"0%")</f>
        <v>0%</v>
      </c>
      <c r="X46" s="69">
        <f t="shared" ref="X46:AA46" si="92">+(G46-F46)/F46</f>
        <v>-0.06146672319</v>
      </c>
      <c r="Y46" s="69">
        <f t="shared" si="92"/>
        <v>-0.06383619392</v>
      </c>
      <c r="Z46" s="69">
        <f t="shared" si="92"/>
        <v>-0.09633322612</v>
      </c>
      <c r="AA46" s="70">
        <f t="shared" si="92"/>
        <v>-0.07812778074</v>
      </c>
      <c r="AB46" s="1"/>
      <c r="AC46" s="1"/>
      <c r="AD46" s="68" t="str">
        <f t="shared" si="49"/>
        <v/>
      </c>
      <c r="AE46" s="70">
        <f t="shared" si="50"/>
        <v>0</v>
      </c>
      <c r="AF46" s="1"/>
      <c r="AG46" s="1"/>
    </row>
    <row r="47" ht="15.75" customHeight="1">
      <c r="A47" s="96" t="s">
        <v>62</v>
      </c>
      <c r="B47" s="36" t="s">
        <v>73</v>
      </c>
      <c r="C47" s="23" t="s">
        <v>36</v>
      </c>
      <c r="D47" s="23"/>
      <c r="E47" s="65">
        <f>7990/1000</f>
        <v>7.99</v>
      </c>
      <c r="F47" s="65">
        <f>9477/1000</f>
        <v>9.477</v>
      </c>
      <c r="G47" s="65">
        <f>17445/1000</f>
        <v>17.445</v>
      </c>
      <c r="H47" s="65">
        <f>34262/1000</f>
        <v>34.262</v>
      </c>
      <c r="I47" s="65">
        <f>35970/1000</f>
        <v>35.97</v>
      </c>
      <c r="J47" s="65">
        <f>31834/1000</f>
        <v>31.834</v>
      </c>
      <c r="K47" s="79">
        <f t="shared" ref="K47:O47" si="93">J47</f>
        <v>31.834</v>
      </c>
      <c r="L47" s="79">
        <f t="shared" si="93"/>
        <v>31.834</v>
      </c>
      <c r="M47" s="79">
        <f t="shared" si="93"/>
        <v>31.834</v>
      </c>
      <c r="N47" s="79">
        <f t="shared" si="93"/>
        <v>31.834</v>
      </c>
      <c r="O47" s="79">
        <f t="shared" si="93"/>
        <v>31.834</v>
      </c>
      <c r="P47" s="1"/>
      <c r="Q47" s="68">
        <f t="shared" si="87"/>
        <v>0.004571763223</v>
      </c>
      <c r="R47" s="69">
        <f t="shared" si="88"/>
        <v>0.008055083938</v>
      </c>
      <c r="S47" s="69">
        <f t="shared" si="89"/>
        <v>0.01734005166</v>
      </c>
      <c r="T47" s="69">
        <f t="shared" si="90"/>
        <v>0.01918220966</v>
      </c>
      <c r="U47" s="70">
        <f t="shared" si="91"/>
        <v>0.01729332376</v>
      </c>
      <c r="V47" s="1"/>
      <c r="W47" s="68">
        <f t="shared" ref="W47:AA47" si="94">+(F47-E47)/E47</f>
        <v>0.1861076345</v>
      </c>
      <c r="X47" s="69">
        <f t="shared" si="94"/>
        <v>0.8407723963</v>
      </c>
      <c r="Y47" s="69">
        <f t="shared" si="94"/>
        <v>0.9640011465</v>
      </c>
      <c r="Z47" s="69">
        <f t="shared" si="94"/>
        <v>0.04985114704</v>
      </c>
      <c r="AA47" s="70">
        <f t="shared" si="94"/>
        <v>-0.1149847095</v>
      </c>
      <c r="AB47" s="1"/>
      <c r="AC47" s="1"/>
      <c r="AD47" s="68">
        <f t="shared" si="49"/>
        <v>0.3184658532</v>
      </c>
      <c r="AE47" s="70">
        <f t="shared" si="50"/>
        <v>0</v>
      </c>
      <c r="AF47" s="1"/>
      <c r="AG47" s="1"/>
    </row>
    <row r="48" ht="15.75" customHeight="1">
      <c r="A48" s="96" t="s">
        <v>70</v>
      </c>
      <c r="B48" s="36" t="s">
        <v>74</v>
      </c>
      <c r="C48" s="23" t="s">
        <v>36</v>
      </c>
      <c r="D48" s="23"/>
      <c r="E48" s="65">
        <f>676790/1000</f>
        <v>676.79</v>
      </c>
      <c r="F48" s="65">
        <f>772063/1000</f>
        <v>772.063</v>
      </c>
      <c r="G48" s="65">
        <f>756719/1000</f>
        <v>756.719</v>
      </c>
      <c r="H48" s="65">
        <f>812912/1000</f>
        <v>812.912</v>
      </c>
      <c r="I48" s="65">
        <f>771778/1000</f>
        <v>771.778</v>
      </c>
      <c r="J48" s="65">
        <f>683121/1000</f>
        <v>683.121</v>
      </c>
      <c r="K48" s="67">
        <f>'Supuestos '!L231</f>
        <v>773.065652</v>
      </c>
      <c r="L48" s="67">
        <f>'Supuestos '!M231</f>
        <v>875.5284188</v>
      </c>
      <c r="M48" s="67">
        <f>'Supuestos '!N231</f>
        <v>988.5779295</v>
      </c>
      <c r="N48" s="67">
        <f>'Supuestos '!O231</f>
        <v>1100.690228</v>
      </c>
      <c r="O48" s="67">
        <f>'Supuestos '!P231</f>
        <v>1215.621393</v>
      </c>
      <c r="P48" s="1"/>
      <c r="Q48" s="68">
        <f t="shared" si="87"/>
        <v>0.3724479508</v>
      </c>
      <c r="R48" s="69">
        <f t="shared" si="88"/>
        <v>0.3494087167</v>
      </c>
      <c r="S48" s="69">
        <f t="shared" si="89"/>
        <v>0.4114160317</v>
      </c>
      <c r="T48" s="69">
        <f t="shared" si="90"/>
        <v>0.4115765195</v>
      </c>
      <c r="U48" s="70">
        <f t="shared" si="91"/>
        <v>0.3710948237</v>
      </c>
      <c r="V48" s="1"/>
      <c r="W48" s="68">
        <f t="shared" ref="W48:AA48" si="95">+(F48-E48)/E48</f>
        <v>0.140771879</v>
      </c>
      <c r="X48" s="69">
        <f t="shared" si="95"/>
        <v>-0.01987402582</v>
      </c>
      <c r="Y48" s="69">
        <f t="shared" si="95"/>
        <v>0.0742587407</v>
      </c>
      <c r="Z48" s="69">
        <f t="shared" si="95"/>
        <v>-0.05060080304</v>
      </c>
      <c r="AA48" s="70">
        <f t="shared" si="95"/>
        <v>-0.1148737072</v>
      </c>
      <c r="AB48" s="1"/>
      <c r="AC48" s="1"/>
      <c r="AD48" s="68">
        <f t="shared" si="49"/>
        <v>0.0018639291</v>
      </c>
      <c r="AE48" s="70">
        <f t="shared" si="50"/>
        <v>0.1221738383</v>
      </c>
      <c r="AF48" s="1"/>
      <c r="AG48" s="1"/>
    </row>
    <row r="49" ht="15.75" customHeight="1">
      <c r="A49" s="101" t="s">
        <v>62</v>
      </c>
      <c r="B49" s="100" t="s">
        <v>75</v>
      </c>
      <c r="C49" s="23" t="s">
        <v>36</v>
      </c>
      <c r="D49" s="23"/>
      <c r="E49" s="65">
        <f>22463/1000</f>
        <v>22.463</v>
      </c>
      <c r="F49" s="65">
        <f>4285/1000</f>
        <v>4.285</v>
      </c>
      <c r="G49" s="65">
        <f>4385/1000</f>
        <v>4.385</v>
      </c>
      <c r="H49" s="65">
        <f>11385/1000</f>
        <v>11.385</v>
      </c>
      <c r="I49" s="65">
        <f>17926/1000</f>
        <v>17.926</v>
      </c>
      <c r="J49" s="65">
        <f>15663/1000</f>
        <v>15.663</v>
      </c>
      <c r="K49" s="67">
        <f>'Supuestos '!L232</f>
        <v>16.97154243</v>
      </c>
      <c r="L49" s="67">
        <f>'Supuestos '!M232</f>
        <v>16.58665223</v>
      </c>
      <c r="M49" s="67">
        <f>'Supuestos '!N232</f>
        <v>21.03432709</v>
      </c>
      <c r="N49" s="67">
        <f>'Supuestos '!O232</f>
        <v>21.90532222</v>
      </c>
      <c r="O49" s="67">
        <f>'Supuestos '!P232</f>
        <v>19.19270832</v>
      </c>
      <c r="P49" s="1"/>
      <c r="Q49" s="68">
        <f t="shared" si="87"/>
        <v>0.002067110416</v>
      </c>
      <c r="R49" s="69">
        <f t="shared" si="88"/>
        <v>0.00202473735</v>
      </c>
      <c r="S49" s="69">
        <f t="shared" si="89"/>
        <v>0.005761966265</v>
      </c>
      <c r="T49" s="69">
        <f t="shared" si="90"/>
        <v>0.0095596411</v>
      </c>
      <c r="U49" s="70">
        <f t="shared" si="91"/>
        <v>0.008508680342</v>
      </c>
      <c r="V49" s="1"/>
      <c r="W49" s="68">
        <f t="shared" ref="W49:AA49" si="96">+(F49-E49)/E49</f>
        <v>-0.8092418644</v>
      </c>
      <c r="X49" s="69">
        <f t="shared" si="96"/>
        <v>0.02333722287</v>
      </c>
      <c r="Y49" s="69">
        <f t="shared" si="96"/>
        <v>1.596351197</v>
      </c>
      <c r="Z49" s="69">
        <f t="shared" si="96"/>
        <v>0.5745278876</v>
      </c>
      <c r="AA49" s="70">
        <f t="shared" si="96"/>
        <v>-0.1262412139</v>
      </c>
      <c r="AB49" s="1"/>
      <c r="AC49" s="1"/>
      <c r="AD49" s="68">
        <f t="shared" si="49"/>
        <v>-0.06957485638</v>
      </c>
      <c r="AE49" s="70">
        <f t="shared" si="50"/>
        <v>0.04148318618</v>
      </c>
      <c r="AF49" s="1"/>
      <c r="AG49" s="1"/>
    </row>
    <row r="50" ht="15.75" customHeight="1">
      <c r="A50" s="101" t="s">
        <v>70</v>
      </c>
      <c r="B50" s="100" t="s">
        <v>76</v>
      </c>
      <c r="C50" s="80" t="s">
        <v>36</v>
      </c>
      <c r="D50" s="23"/>
      <c r="E50" s="65">
        <f>780122/1000</f>
        <v>780.122</v>
      </c>
      <c r="F50" s="65">
        <f>790553/1000</f>
        <v>790.553</v>
      </c>
      <c r="G50" s="65">
        <f>801983/1000</f>
        <v>801.983</v>
      </c>
      <c r="H50" s="65">
        <f>699938/1000</f>
        <v>699.938</v>
      </c>
      <c r="I50" s="65">
        <f>650650/1000</f>
        <v>650.65</v>
      </c>
      <c r="J50" s="65">
        <f>656228/1000</f>
        <v>656.228</v>
      </c>
      <c r="K50" s="67">
        <f>'Supuestos '!L233</f>
        <v>666.1265837</v>
      </c>
      <c r="L50" s="67">
        <f>'Supuestos '!M233</f>
        <v>685.8241393</v>
      </c>
      <c r="M50" s="67">
        <f>'Supuestos '!N233</f>
        <v>712.2622692</v>
      </c>
      <c r="N50" s="67">
        <f>'Supuestos '!O233</f>
        <v>733.8700318</v>
      </c>
      <c r="O50" s="67">
        <f>'Supuestos '!P233</f>
        <v>754.2908451</v>
      </c>
      <c r="P50" s="1"/>
      <c r="Q50" s="68">
        <f t="shared" si="87"/>
        <v>0.3813676408</v>
      </c>
      <c r="R50" s="69">
        <f t="shared" si="88"/>
        <v>0.3703089929</v>
      </c>
      <c r="S50" s="69">
        <f t="shared" si="89"/>
        <v>0.354239714</v>
      </c>
      <c r="T50" s="69">
        <f t="shared" si="90"/>
        <v>0.3469809484</v>
      </c>
      <c r="U50" s="70">
        <f t="shared" si="91"/>
        <v>0.3564856211</v>
      </c>
      <c r="V50" s="1"/>
      <c r="W50" s="68">
        <f t="shared" ref="W50:AA50" si="97">+(F50-E50)/E50</f>
        <v>0.01337098556</v>
      </c>
      <c r="X50" s="69">
        <f t="shared" si="97"/>
        <v>0.01445823367</v>
      </c>
      <c r="Y50" s="69">
        <f t="shared" si="97"/>
        <v>-0.1272408517</v>
      </c>
      <c r="Z50" s="69">
        <f t="shared" si="97"/>
        <v>-0.07041766556</v>
      </c>
      <c r="AA50" s="70">
        <f t="shared" si="97"/>
        <v>0.008572965496</v>
      </c>
      <c r="AB50" s="1"/>
      <c r="AC50" s="1"/>
      <c r="AD50" s="68">
        <f t="shared" si="49"/>
        <v>-0.03399706419</v>
      </c>
      <c r="AE50" s="70">
        <f t="shared" si="50"/>
        <v>0.02824549622</v>
      </c>
      <c r="AF50" s="1"/>
      <c r="AG50" s="1"/>
    </row>
    <row r="51" ht="15.75" customHeight="1">
      <c r="A51" s="23"/>
      <c r="B51" s="82" t="s">
        <v>77</v>
      </c>
      <c r="C51" s="23" t="s">
        <v>36</v>
      </c>
      <c r="D51" s="83"/>
      <c r="E51" s="84">
        <f t="shared" ref="E51:O51" si="98">SUM(E45:E50)</f>
        <v>1681.159</v>
      </c>
      <c r="F51" s="84">
        <f t="shared" si="98"/>
        <v>1778.801</v>
      </c>
      <c r="G51" s="84">
        <f t="shared" si="98"/>
        <v>1774.925</v>
      </c>
      <c r="H51" s="84">
        <f t="shared" si="98"/>
        <v>1751.22</v>
      </c>
      <c r="I51" s="84">
        <f t="shared" si="98"/>
        <v>1667.219</v>
      </c>
      <c r="J51" s="84">
        <f t="shared" si="98"/>
        <v>1545.073</v>
      </c>
      <c r="K51" s="85">
        <f t="shared" si="98"/>
        <v>1646.224778</v>
      </c>
      <c r="L51" s="85">
        <f t="shared" si="98"/>
        <v>1768.00021</v>
      </c>
      <c r="M51" s="85">
        <f t="shared" si="98"/>
        <v>1911.935526</v>
      </c>
      <c r="N51" s="85">
        <f t="shared" si="98"/>
        <v>2046.526582</v>
      </c>
      <c r="O51" s="85">
        <f t="shared" si="98"/>
        <v>2179.165946</v>
      </c>
      <c r="P51" s="36"/>
      <c r="Q51" s="68">
        <f t="shared" si="87"/>
        <v>0.8581045683</v>
      </c>
      <c r="R51" s="69">
        <f t="shared" si="88"/>
        <v>0.819556885</v>
      </c>
      <c r="S51" s="69">
        <f t="shared" si="89"/>
        <v>0.8862951746</v>
      </c>
      <c r="T51" s="69">
        <f t="shared" si="90"/>
        <v>0.889100484</v>
      </c>
      <c r="U51" s="70">
        <f t="shared" si="91"/>
        <v>0.8393367977</v>
      </c>
      <c r="V51" s="1"/>
      <c r="W51" s="68">
        <f t="shared" ref="W51:AA51" si="99">+(F51-E51)/E51</f>
        <v>0.05808016969</v>
      </c>
      <c r="X51" s="69">
        <f t="shared" si="99"/>
        <v>-0.002178995852</v>
      </c>
      <c r="Y51" s="69">
        <f t="shared" si="99"/>
        <v>-0.01335549389</v>
      </c>
      <c r="Z51" s="69">
        <f t="shared" si="99"/>
        <v>-0.04796713149</v>
      </c>
      <c r="AA51" s="70">
        <f t="shared" si="99"/>
        <v>-0.07326332054</v>
      </c>
      <c r="AB51" s="1"/>
      <c r="AC51" s="1"/>
      <c r="AD51" s="68">
        <f t="shared" si="49"/>
        <v>-0.01674074556</v>
      </c>
      <c r="AE51" s="70">
        <f t="shared" si="50"/>
        <v>0.07119431725</v>
      </c>
      <c r="AF51" s="1"/>
      <c r="AG51" s="1"/>
    </row>
    <row r="52" ht="15.75" customHeight="1">
      <c r="A52" s="23"/>
      <c r="B52" s="1"/>
      <c r="C52" s="23"/>
      <c r="D52" s="2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68"/>
      <c r="R52" s="69"/>
      <c r="S52" s="69"/>
      <c r="T52" s="69"/>
      <c r="U52" s="70"/>
      <c r="V52" s="1"/>
      <c r="W52" s="68"/>
      <c r="X52" s="69"/>
      <c r="Y52" s="69"/>
      <c r="Z52" s="69"/>
      <c r="AA52" s="70"/>
      <c r="AB52" s="1"/>
      <c r="AC52" s="1"/>
      <c r="AD52" s="68" t="str">
        <f t="shared" si="49"/>
        <v/>
      </c>
      <c r="AE52" s="70" t="str">
        <f t="shared" si="50"/>
        <v/>
      </c>
      <c r="AF52" s="1"/>
      <c r="AG52" s="1"/>
    </row>
    <row r="53" ht="15.75" customHeight="1">
      <c r="A53" s="23"/>
      <c r="B53" s="72" t="s">
        <v>78</v>
      </c>
      <c r="C53" s="73" t="s">
        <v>36</v>
      </c>
      <c r="D53" s="73"/>
      <c r="E53" s="74">
        <f t="shared" ref="E53:O53" si="100">E42+E51</f>
        <v>2160.601</v>
      </c>
      <c r="F53" s="74">
        <f t="shared" si="100"/>
        <v>2072.942</v>
      </c>
      <c r="G53" s="74">
        <f t="shared" si="100"/>
        <v>2165.713</v>
      </c>
      <c r="H53" s="74">
        <f t="shared" si="100"/>
        <v>1975.888</v>
      </c>
      <c r="I53" s="74">
        <f t="shared" si="100"/>
        <v>1875.175</v>
      </c>
      <c r="J53" s="74">
        <f t="shared" si="100"/>
        <v>1840.826</v>
      </c>
      <c r="K53" s="74">
        <f t="shared" si="100"/>
        <v>1954.432224</v>
      </c>
      <c r="L53" s="74">
        <f t="shared" si="100"/>
        <v>2202.262471</v>
      </c>
      <c r="M53" s="74">
        <f t="shared" si="100"/>
        <v>2488.532401</v>
      </c>
      <c r="N53" s="74">
        <f t="shared" si="100"/>
        <v>2987.792609</v>
      </c>
      <c r="O53" s="74">
        <f t="shared" si="100"/>
        <v>3045.067015</v>
      </c>
      <c r="P53" s="36"/>
      <c r="Q53" s="68">
        <f>+F53/$F$53</f>
        <v>1</v>
      </c>
      <c r="R53" s="69">
        <f>+G53/$G$53</f>
        <v>1</v>
      </c>
      <c r="S53" s="69">
        <f>H53/$H$53</f>
        <v>1</v>
      </c>
      <c r="T53" s="69">
        <f>I53/$I$53</f>
        <v>1</v>
      </c>
      <c r="U53" s="70">
        <f>J53/$J$53</f>
        <v>1</v>
      </c>
      <c r="V53" s="1"/>
      <c r="W53" s="68">
        <f t="shared" ref="W53:AA53" si="101">+(F53-E53)/E53</f>
        <v>-0.0405715817</v>
      </c>
      <c r="X53" s="69">
        <f t="shared" si="101"/>
        <v>0.04475330231</v>
      </c>
      <c r="Y53" s="69">
        <f t="shared" si="101"/>
        <v>-0.087650118</v>
      </c>
      <c r="Z53" s="69">
        <f t="shared" si="101"/>
        <v>-0.05097100645</v>
      </c>
      <c r="AA53" s="70">
        <f t="shared" si="101"/>
        <v>-0.01831775701</v>
      </c>
      <c r="AB53" s="1"/>
      <c r="AC53" s="1"/>
      <c r="AD53" s="68">
        <f t="shared" si="49"/>
        <v>-0.03152674168</v>
      </c>
      <c r="AE53" s="70">
        <f t="shared" si="50"/>
        <v>0.1059024572</v>
      </c>
      <c r="AF53" s="1"/>
      <c r="AG53" s="1"/>
    </row>
    <row r="54" ht="15.75" customHeight="1">
      <c r="A54" s="23"/>
      <c r="B54" s="1"/>
      <c r="C54" s="23"/>
      <c r="D54" s="23"/>
      <c r="E54" s="1"/>
      <c r="F54" s="1"/>
      <c r="G54" s="1"/>
      <c r="H54" s="1"/>
      <c r="I54" s="1"/>
      <c r="P54" s="1"/>
      <c r="Q54" s="63"/>
      <c r="R54" s="64"/>
      <c r="S54" s="64"/>
      <c r="T54" s="69"/>
      <c r="U54" s="62"/>
      <c r="V54" s="1"/>
      <c r="W54" s="68"/>
      <c r="X54" s="69"/>
      <c r="Y54" s="69"/>
      <c r="Z54" s="69"/>
      <c r="AA54" s="70"/>
      <c r="AB54" s="1"/>
      <c r="AC54" s="1"/>
      <c r="AD54" s="68" t="str">
        <f t="shared" si="49"/>
        <v/>
      </c>
      <c r="AE54" s="70" t="str">
        <f t="shared" si="50"/>
        <v/>
      </c>
      <c r="AF54" s="1"/>
      <c r="AG54" s="1"/>
    </row>
    <row r="55" ht="15.75" customHeight="1">
      <c r="A55" s="23"/>
      <c r="B55" s="94" t="s">
        <v>79</v>
      </c>
      <c r="C55" s="23"/>
      <c r="D55" s="23"/>
      <c r="E55" s="1"/>
      <c r="F55" s="1"/>
      <c r="G55" s="71"/>
      <c r="H55" s="71"/>
      <c r="I55" s="71"/>
      <c r="J55" s="71"/>
      <c r="K55" s="71"/>
      <c r="L55" s="71"/>
      <c r="M55" s="71"/>
      <c r="N55" s="71"/>
      <c r="O55" s="71"/>
      <c r="P55" s="1"/>
      <c r="Q55" s="102"/>
      <c r="R55" s="64"/>
      <c r="S55" s="64"/>
      <c r="T55" s="69"/>
      <c r="U55" s="62"/>
      <c r="V55" s="1"/>
      <c r="W55" s="68"/>
      <c r="X55" s="69"/>
      <c r="Y55" s="69"/>
      <c r="Z55" s="69"/>
      <c r="AA55" s="70"/>
      <c r="AB55" s="1"/>
      <c r="AC55" s="1"/>
      <c r="AD55" s="68" t="str">
        <f t="shared" si="49"/>
        <v/>
      </c>
      <c r="AE55" s="70" t="str">
        <f t="shared" si="50"/>
        <v/>
      </c>
      <c r="AF55" s="1"/>
      <c r="AG55" s="1"/>
    </row>
    <row r="56" ht="15.75" customHeight="1">
      <c r="A56" s="96"/>
      <c r="B56" s="26" t="s">
        <v>80</v>
      </c>
      <c r="C56" s="23"/>
      <c r="D56" s="2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63"/>
      <c r="R56" s="64"/>
      <c r="S56" s="64"/>
      <c r="T56" s="69"/>
      <c r="U56" s="62"/>
      <c r="V56" s="1"/>
      <c r="W56" s="68"/>
      <c r="X56" s="69"/>
      <c r="Y56" s="69"/>
      <c r="Z56" s="69"/>
      <c r="AA56" s="70"/>
      <c r="AB56" s="1"/>
      <c r="AC56" s="1"/>
      <c r="AD56" s="68" t="str">
        <f t="shared" si="49"/>
        <v/>
      </c>
      <c r="AE56" s="70" t="str">
        <f t="shared" si="50"/>
        <v/>
      </c>
      <c r="AF56" s="1"/>
      <c r="AG56" s="1"/>
    </row>
    <row r="57" ht="15.75" customHeight="1">
      <c r="A57" s="96" t="s">
        <v>81</v>
      </c>
      <c r="B57" s="36" t="s">
        <v>82</v>
      </c>
      <c r="C57" s="23" t="s">
        <v>36</v>
      </c>
      <c r="D57" s="23"/>
      <c r="E57" s="65">
        <f>224476/1000</f>
        <v>224.476</v>
      </c>
      <c r="F57" s="65">
        <f>37179/1000</f>
        <v>37.179</v>
      </c>
      <c r="G57" s="65">
        <f>451144/1000</f>
        <v>451.144</v>
      </c>
      <c r="H57" s="65">
        <f>34697/1000</f>
        <v>34.697</v>
      </c>
      <c r="I57" s="65">
        <f>136326/1000</f>
        <v>136.326</v>
      </c>
      <c r="J57" s="65">
        <f>40701/1000</f>
        <v>40.701</v>
      </c>
      <c r="K57" s="67">
        <f>'Supuestos '!L251</f>
        <v>115.2150843</v>
      </c>
      <c r="L57" s="67">
        <f>'Supuestos '!M251</f>
        <v>121.3099623</v>
      </c>
      <c r="M57" s="67">
        <f>'Supuestos '!N251</f>
        <v>127.7272593</v>
      </c>
      <c r="N57" s="67">
        <f>'Supuestos '!O251</f>
        <v>134.4840313</v>
      </c>
      <c r="O57" s="67" t="str">
        <f>'Supuestos '!P251</f>
        <v/>
      </c>
      <c r="P57" s="1"/>
      <c r="Q57" s="68">
        <f t="shared" ref="Q57:Q62" si="103">+F57/$F$53</f>
        <v>0.0179353788</v>
      </c>
      <c r="R57" s="69">
        <f t="shared" ref="R57:R62" si="104">+G57/$G$53</f>
        <v>0.208311997</v>
      </c>
      <c r="S57" s="69">
        <f t="shared" ref="S57:S62" si="105">+H57/$H$53</f>
        <v>0.01756020584</v>
      </c>
      <c r="T57" s="69">
        <f t="shared" ref="T57:T62" si="106">+I57/$I$53</f>
        <v>0.07270041463</v>
      </c>
      <c r="U57" s="70">
        <f t="shared" ref="U57:U62" si="107">+J57/$J$53</f>
        <v>0.02211018315</v>
      </c>
      <c r="V57" s="1"/>
      <c r="W57" s="68">
        <f t="shared" ref="W57:AA57" si="102">+(F57-E57)/E57</f>
        <v>-0.8343742761</v>
      </c>
      <c r="X57" s="69">
        <f t="shared" si="102"/>
        <v>11.13437693</v>
      </c>
      <c r="Y57" s="69">
        <f t="shared" si="102"/>
        <v>-0.9230910751</v>
      </c>
      <c r="Z57" s="69">
        <f t="shared" si="102"/>
        <v>2.929042857</v>
      </c>
      <c r="AA57" s="70">
        <f t="shared" si="102"/>
        <v>-0.7014435984</v>
      </c>
      <c r="AB57" s="1"/>
      <c r="AC57" s="1"/>
      <c r="AD57" s="68">
        <f t="shared" si="49"/>
        <v>-0.2892988258</v>
      </c>
      <c r="AE57" s="70">
        <f t="shared" si="50"/>
        <v>-1</v>
      </c>
      <c r="AF57" s="1"/>
      <c r="AG57" s="1"/>
    </row>
    <row r="58" ht="15.75" customHeight="1">
      <c r="A58" s="96" t="s">
        <v>62</v>
      </c>
      <c r="B58" s="36" t="s">
        <v>83</v>
      </c>
      <c r="C58" s="23" t="s">
        <v>36</v>
      </c>
      <c r="D58" s="23"/>
      <c r="E58" s="65">
        <f>8448/1000</f>
        <v>8.448</v>
      </c>
      <c r="F58" s="65">
        <f>10070/1000</f>
        <v>10.07</v>
      </c>
      <c r="G58" s="65">
        <f>1168/1000</f>
        <v>1.168</v>
      </c>
      <c r="H58" s="65">
        <f>198/1000</f>
        <v>0.198</v>
      </c>
      <c r="I58" s="65">
        <f>1046/1000</f>
        <v>1.046</v>
      </c>
      <c r="J58" s="65">
        <v>0.0</v>
      </c>
      <c r="K58" s="103">
        <f>'Supuestos '!L202</f>
        <v>0.0006382402163</v>
      </c>
      <c r="L58" s="103">
        <f>'Supuestos '!M202</f>
        <v>0.0007374386253</v>
      </c>
      <c r="M58" s="103">
        <f>'Supuestos '!N202</f>
        <v>0.0008185526984</v>
      </c>
      <c r="N58" s="103">
        <f>'Supuestos '!O202</f>
        <v>0.00150433093</v>
      </c>
      <c r="O58" s="103">
        <f>'Supuestos '!P202</f>
        <v>0.0008451957799</v>
      </c>
      <c r="P58" s="1"/>
      <c r="Q58" s="68">
        <f t="shared" si="103"/>
        <v>0.004857830079</v>
      </c>
      <c r="R58" s="69">
        <f t="shared" si="104"/>
        <v>0.0005393143043</v>
      </c>
      <c r="S58" s="69">
        <f t="shared" si="105"/>
        <v>0.000100208109</v>
      </c>
      <c r="T58" s="69">
        <f t="shared" si="106"/>
        <v>0.000557814604</v>
      </c>
      <c r="U58" s="70">
        <f t="shared" si="107"/>
        <v>0</v>
      </c>
      <c r="V58" s="1"/>
      <c r="W58" s="68">
        <f t="shared" ref="W58:AA58" si="108">+(F58-E58)/E58</f>
        <v>0.1919981061</v>
      </c>
      <c r="X58" s="69">
        <f t="shared" si="108"/>
        <v>-0.8840119166</v>
      </c>
      <c r="Y58" s="69">
        <f t="shared" si="108"/>
        <v>-0.8304794521</v>
      </c>
      <c r="Z58" s="69">
        <f t="shared" si="108"/>
        <v>4.282828283</v>
      </c>
      <c r="AA58" s="70">
        <f t="shared" si="108"/>
        <v>-1</v>
      </c>
      <c r="AB58" s="1"/>
      <c r="AC58" s="1"/>
      <c r="AD58" s="68">
        <f t="shared" si="49"/>
        <v>-1</v>
      </c>
      <c r="AE58" s="70"/>
      <c r="AF58" s="1"/>
      <c r="AG58" s="1"/>
    </row>
    <row r="59" ht="15.75" customHeight="1">
      <c r="A59" s="97" t="s">
        <v>62</v>
      </c>
      <c r="B59" s="98" t="s">
        <v>84</v>
      </c>
      <c r="C59" s="23" t="s">
        <v>36</v>
      </c>
      <c r="D59" s="23"/>
      <c r="E59" s="65">
        <f>178175/1000</f>
        <v>178.175</v>
      </c>
      <c r="F59" s="65">
        <f>222640/1000</f>
        <v>222.64</v>
      </c>
      <c r="G59" s="65">
        <f>229693/1000</f>
        <v>229.693</v>
      </c>
      <c r="H59" s="65">
        <f>251239/1000</f>
        <v>251.239</v>
      </c>
      <c r="I59" s="65">
        <f>242213/1000</f>
        <v>242.213</v>
      </c>
      <c r="J59" s="65">
        <f>189711/1000</f>
        <v>189.711</v>
      </c>
      <c r="K59" s="103">
        <f>'Supuestos '!L203</f>
        <v>213.2877953</v>
      </c>
      <c r="L59" s="103">
        <f>'Supuestos '!M203</f>
        <v>246.4380252</v>
      </c>
      <c r="M59" s="103">
        <f>'Supuestos '!N203</f>
        <v>273.5448126</v>
      </c>
      <c r="N59" s="103">
        <f>'Supuestos '!O203</f>
        <v>502.7189126</v>
      </c>
      <c r="O59" s="103">
        <f>'Supuestos '!P203</f>
        <v>282.4484259</v>
      </c>
      <c r="P59" s="1"/>
      <c r="Q59" s="68">
        <f t="shared" si="103"/>
        <v>0.1074029085</v>
      </c>
      <c r="R59" s="69">
        <f t="shared" si="104"/>
        <v>0.1060588361</v>
      </c>
      <c r="S59" s="69">
        <f t="shared" si="105"/>
        <v>0.1271524499</v>
      </c>
      <c r="T59" s="69">
        <f t="shared" si="106"/>
        <v>0.129168211</v>
      </c>
      <c r="U59" s="70">
        <f t="shared" si="107"/>
        <v>0.1030575405</v>
      </c>
      <c r="V59" s="1"/>
      <c r="W59" s="68">
        <f t="shared" ref="W59:AA59" si="109">+(F59-E59)/E59</f>
        <v>0.2495580188</v>
      </c>
      <c r="X59" s="69">
        <f t="shared" si="109"/>
        <v>0.03167894359</v>
      </c>
      <c r="Y59" s="69">
        <f t="shared" si="109"/>
        <v>0.09380346811</v>
      </c>
      <c r="Z59" s="69">
        <f t="shared" si="109"/>
        <v>-0.03592595099</v>
      </c>
      <c r="AA59" s="70">
        <f t="shared" si="109"/>
        <v>-0.2167596289</v>
      </c>
      <c r="AB59" s="1"/>
      <c r="AC59" s="1"/>
      <c r="AD59" s="68">
        <f t="shared" si="49"/>
        <v>0.01262617512</v>
      </c>
      <c r="AE59" s="70">
        <f t="shared" ref="AE59:AE85" si="112">IFERROR((O59/J59)^(1/(O$3-J$3))-1,"")</f>
        <v>0.08285256376</v>
      </c>
      <c r="AF59" s="1"/>
      <c r="AG59" s="1"/>
    </row>
    <row r="60" ht="15.0" customHeight="1">
      <c r="A60" s="96" t="s">
        <v>62</v>
      </c>
      <c r="B60" s="100" t="s">
        <v>85</v>
      </c>
      <c r="C60" s="23" t="s">
        <v>36</v>
      </c>
      <c r="D60" s="23"/>
      <c r="E60" s="65">
        <f>53407/1000</f>
        <v>53.407</v>
      </c>
      <c r="F60" s="65">
        <f>15107/1000</f>
        <v>15.107</v>
      </c>
      <c r="G60" s="65">
        <f>2241/1000</f>
        <v>2.241</v>
      </c>
      <c r="H60" s="65">
        <v>0.0</v>
      </c>
      <c r="I60" s="65">
        <v>0.0</v>
      </c>
      <c r="J60" s="65">
        <v>0.0</v>
      </c>
      <c r="K60" s="103">
        <f>'Supuestos '!L204</f>
        <v>0</v>
      </c>
      <c r="L60" s="103">
        <f>'Supuestos '!M204</f>
        <v>0</v>
      </c>
      <c r="M60" s="103">
        <f>'Supuestos '!N204</f>
        <v>0</v>
      </c>
      <c r="N60" s="103">
        <f>'Supuestos '!O204</f>
        <v>0</v>
      </c>
      <c r="O60" s="103">
        <f>'Supuestos '!P204</f>
        <v>0</v>
      </c>
      <c r="P60" s="1"/>
      <c r="Q60" s="68">
        <f t="shared" si="103"/>
        <v>0.007287709931</v>
      </c>
      <c r="R60" s="69">
        <f t="shared" si="104"/>
        <v>0.001034763147</v>
      </c>
      <c r="S60" s="69">
        <f t="shared" si="105"/>
        <v>0</v>
      </c>
      <c r="T60" s="69">
        <f t="shared" si="106"/>
        <v>0</v>
      </c>
      <c r="U60" s="70">
        <f t="shared" si="107"/>
        <v>0</v>
      </c>
      <c r="V60" s="1"/>
      <c r="W60" s="68">
        <f t="shared" ref="W60:Y60" si="110">+(F60-E60)/E60</f>
        <v>-0.717134458</v>
      </c>
      <c r="X60" s="69">
        <f t="shared" si="110"/>
        <v>-0.8516581717</v>
      </c>
      <c r="Y60" s="69">
        <f t="shared" si="110"/>
        <v>-1</v>
      </c>
      <c r="Z60" s="69" t="str">
        <f t="shared" ref="Z60:AA60" si="111">IFERROR((I60-H60)/H60,"-")</f>
        <v>-</v>
      </c>
      <c r="AA60" s="70" t="str">
        <f t="shared" si="111"/>
        <v>-</v>
      </c>
      <c r="AB60" s="1"/>
      <c r="AC60" s="1"/>
      <c r="AD60" s="68">
        <f t="shared" si="49"/>
        <v>-1</v>
      </c>
      <c r="AE60" s="70" t="str">
        <f t="shared" si="112"/>
        <v/>
      </c>
      <c r="AF60" s="1"/>
      <c r="AG60" s="1"/>
    </row>
    <row r="61" ht="15.75" customHeight="1">
      <c r="A61" s="96" t="s">
        <v>62</v>
      </c>
      <c r="B61" s="36" t="s">
        <v>86</v>
      </c>
      <c r="C61" s="23" t="s">
        <v>36</v>
      </c>
      <c r="D61" s="23"/>
      <c r="E61" s="65">
        <f>55482/1000</f>
        <v>55.482</v>
      </c>
      <c r="F61" s="65">
        <f>65883/1000</f>
        <v>65.883</v>
      </c>
      <c r="G61" s="65">
        <f>70688/1000</f>
        <v>70.688</v>
      </c>
      <c r="H61" s="65">
        <f>74869/1000</f>
        <v>74.869</v>
      </c>
      <c r="I61" s="65">
        <f>60495/1000</f>
        <v>60.495</v>
      </c>
      <c r="J61" s="65">
        <f>89891/1000</f>
        <v>89.891</v>
      </c>
      <c r="K61" s="103">
        <f>'Supuestos '!L205</f>
        <v>0.1103559784</v>
      </c>
      <c r="L61" s="103">
        <f>'Supuestos '!M205</f>
        <v>0.127508043</v>
      </c>
      <c r="M61" s="103">
        <f>'Supuestos '!N205</f>
        <v>0.1415332058</v>
      </c>
      <c r="N61" s="103">
        <f>'Supuestos '!O205</f>
        <v>0.2601088232</v>
      </c>
      <c r="O61" s="103">
        <f>'Supuestos '!P205</f>
        <v>0.1461399718</v>
      </c>
      <c r="P61" s="1"/>
      <c r="Q61" s="68">
        <f t="shared" si="103"/>
        <v>0.03178236535</v>
      </c>
      <c r="R61" s="69">
        <f t="shared" si="104"/>
        <v>0.03263959721</v>
      </c>
      <c r="S61" s="69">
        <f t="shared" si="105"/>
        <v>0.03789131773</v>
      </c>
      <c r="T61" s="69">
        <f t="shared" si="106"/>
        <v>0.03226098897</v>
      </c>
      <c r="U61" s="70">
        <f t="shared" si="107"/>
        <v>0.04883188308</v>
      </c>
      <c r="V61" s="1"/>
      <c r="W61" s="68">
        <f t="shared" ref="W61:Y61" si="113">+(F61-E61)/E61</f>
        <v>0.1874662053</v>
      </c>
      <c r="X61" s="69">
        <f t="shared" si="113"/>
        <v>0.07293231941</v>
      </c>
      <c r="Y61" s="69">
        <f t="shared" si="113"/>
        <v>0.05914723857</v>
      </c>
      <c r="Z61" s="69">
        <f>IFERROR(+(I61-H61)/H61,"-")</f>
        <v>-0.1919886735</v>
      </c>
      <c r="AA61" s="70">
        <f>+(J61-I61)/I61</f>
        <v>0.4859244566</v>
      </c>
      <c r="AB61" s="1"/>
      <c r="AC61" s="1"/>
      <c r="AD61" s="68">
        <f t="shared" si="49"/>
        <v>0.1013182113</v>
      </c>
      <c r="AE61" s="70">
        <f t="shared" si="112"/>
        <v>-0.7231716517</v>
      </c>
      <c r="AF61" s="1"/>
      <c r="AG61" s="1"/>
    </row>
    <row r="62" ht="15.75" customHeight="1">
      <c r="A62" s="96" t="s">
        <v>62</v>
      </c>
      <c r="B62" s="104" t="s">
        <v>87</v>
      </c>
      <c r="C62" s="23" t="s">
        <v>36</v>
      </c>
      <c r="D62" s="23"/>
      <c r="E62" s="65">
        <f>171484/1000</f>
        <v>171.484</v>
      </c>
      <c r="F62" s="65">
        <f>0/1000</f>
        <v>0</v>
      </c>
      <c r="G62" s="65">
        <v>0.0</v>
      </c>
      <c r="H62" s="65">
        <v>0.0</v>
      </c>
      <c r="I62" s="65">
        <v>0.0</v>
      </c>
      <c r="J62" s="65">
        <v>0.0</v>
      </c>
      <c r="K62" s="103">
        <f>'Supuestos '!L206</f>
        <v>0</v>
      </c>
      <c r="L62" s="103">
        <f>'Supuestos '!M206</f>
        <v>0</v>
      </c>
      <c r="M62" s="103">
        <f>'Supuestos '!N206</f>
        <v>0</v>
      </c>
      <c r="N62" s="103">
        <f>'Supuestos '!O206</f>
        <v>0</v>
      </c>
      <c r="O62" s="103">
        <f>'Supuestos '!P206</f>
        <v>0</v>
      </c>
      <c r="P62" s="1"/>
      <c r="Q62" s="68">
        <f t="shared" si="103"/>
        <v>0</v>
      </c>
      <c r="R62" s="69">
        <f t="shared" si="104"/>
        <v>0</v>
      </c>
      <c r="S62" s="69">
        <f t="shared" si="105"/>
        <v>0</v>
      </c>
      <c r="T62" s="69">
        <f t="shared" si="106"/>
        <v>0</v>
      </c>
      <c r="U62" s="70">
        <f t="shared" si="107"/>
        <v>0</v>
      </c>
      <c r="V62" s="1"/>
      <c r="W62" s="68">
        <f>+(F62-E62)/E62</f>
        <v>-1</v>
      </c>
      <c r="X62" s="69" t="str">
        <f t="shared" ref="X62:AA62" si="114">IFERROR((G62-F62)/F62,"-")</f>
        <v>-</v>
      </c>
      <c r="Y62" s="69" t="str">
        <f t="shared" si="114"/>
        <v>-</v>
      </c>
      <c r="Z62" s="69" t="str">
        <f t="shared" si="114"/>
        <v>-</v>
      </c>
      <c r="AA62" s="70" t="str">
        <f t="shared" si="114"/>
        <v>-</v>
      </c>
      <c r="AB62" s="1"/>
      <c r="AC62" s="1"/>
      <c r="AD62" s="68">
        <f t="shared" si="49"/>
        <v>-1</v>
      </c>
      <c r="AE62" s="70" t="str">
        <f t="shared" si="112"/>
        <v/>
      </c>
      <c r="AF62" s="1"/>
      <c r="AG62" s="1"/>
    </row>
    <row r="63" ht="15.75" customHeight="1">
      <c r="A63" s="96"/>
      <c r="B63" s="104" t="s">
        <v>88</v>
      </c>
      <c r="C63" s="80" t="s">
        <v>36</v>
      </c>
      <c r="D63" s="23"/>
      <c r="E63" s="65">
        <v>0.0</v>
      </c>
      <c r="F63" s="65">
        <v>0.0</v>
      </c>
      <c r="G63" s="65">
        <v>0.0</v>
      </c>
      <c r="H63" s="65">
        <v>0.0</v>
      </c>
      <c r="I63" s="65">
        <f t="shared" ref="I63:J63" si="115">21/1000</f>
        <v>0.021</v>
      </c>
      <c r="J63" s="65">
        <f t="shared" si="115"/>
        <v>0.021</v>
      </c>
      <c r="K63" s="103">
        <f t="shared" ref="K63:O63" si="116">+J63</f>
        <v>0.021</v>
      </c>
      <c r="L63" s="103">
        <f t="shared" si="116"/>
        <v>0.021</v>
      </c>
      <c r="M63" s="103">
        <f t="shared" si="116"/>
        <v>0.021</v>
      </c>
      <c r="N63" s="103">
        <f t="shared" si="116"/>
        <v>0.021</v>
      </c>
      <c r="O63" s="103">
        <f t="shared" si="116"/>
        <v>0.021</v>
      </c>
      <c r="P63" s="1"/>
      <c r="Q63" s="68"/>
      <c r="R63" s="69"/>
      <c r="S63" s="69"/>
      <c r="T63" s="69"/>
      <c r="U63" s="70"/>
      <c r="V63" s="1"/>
      <c r="W63" s="68"/>
      <c r="X63" s="69"/>
      <c r="Y63" s="69"/>
      <c r="Z63" s="69"/>
      <c r="AA63" s="70"/>
      <c r="AB63" s="1"/>
      <c r="AC63" s="1"/>
      <c r="AD63" s="68" t="str">
        <f t="shared" si="49"/>
        <v/>
      </c>
      <c r="AE63" s="70">
        <f t="shared" si="112"/>
        <v>0</v>
      </c>
      <c r="AF63" s="1"/>
      <c r="AG63" s="1"/>
    </row>
    <row r="64" ht="15.75" customHeight="1">
      <c r="A64" s="96"/>
      <c r="B64" s="82" t="s">
        <v>89</v>
      </c>
      <c r="C64" s="23" t="s">
        <v>36</v>
      </c>
      <c r="D64" s="83"/>
      <c r="E64" s="105">
        <f t="shared" ref="E64:O64" si="117">SUM(E57:E63)</f>
        <v>691.472</v>
      </c>
      <c r="F64" s="105">
        <f t="shared" si="117"/>
        <v>350.879</v>
      </c>
      <c r="G64" s="105">
        <f t="shared" si="117"/>
        <v>754.934</v>
      </c>
      <c r="H64" s="105">
        <f t="shared" si="117"/>
        <v>361.003</v>
      </c>
      <c r="I64" s="105">
        <f t="shared" si="117"/>
        <v>440.101</v>
      </c>
      <c r="J64" s="105">
        <f t="shared" si="117"/>
        <v>320.324</v>
      </c>
      <c r="K64" s="85">
        <f t="shared" si="117"/>
        <v>328.6348738</v>
      </c>
      <c r="L64" s="85">
        <f t="shared" si="117"/>
        <v>367.897233</v>
      </c>
      <c r="M64" s="85">
        <f t="shared" si="117"/>
        <v>401.4354236</v>
      </c>
      <c r="N64" s="85">
        <f t="shared" si="117"/>
        <v>637.485557</v>
      </c>
      <c r="O64" s="85">
        <f t="shared" si="117"/>
        <v>282.6164111</v>
      </c>
      <c r="P64" s="36"/>
      <c r="Q64" s="68">
        <f>+F64/$F$53</f>
        <v>0.1692661927</v>
      </c>
      <c r="R64" s="69">
        <f t="shared" ref="R64:R65" si="120">+G64/$G$53</f>
        <v>0.3485845077</v>
      </c>
      <c r="S64" s="69">
        <f t="shared" ref="S64:T64" si="118">+H64/$H$53</f>
        <v>0.1827041816</v>
      </c>
      <c r="T64" s="69">
        <f t="shared" si="118"/>
        <v>0.2227358028</v>
      </c>
      <c r="U64" s="70">
        <f t="shared" ref="U64:U65" si="121">+J64/$J$53</f>
        <v>0.1740110146</v>
      </c>
      <c r="V64" s="1"/>
      <c r="W64" s="68">
        <f t="shared" ref="W64:AA64" si="119">+(F64-E64)/E64</f>
        <v>-0.492562244</v>
      </c>
      <c r="X64" s="69">
        <f t="shared" si="119"/>
        <v>1.15155082</v>
      </c>
      <c r="Y64" s="69">
        <f t="shared" si="119"/>
        <v>-0.521808529</v>
      </c>
      <c r="Z64" s="69">
        <f t="shared" si="119"/>
        <v>0.2191062124</v>
      </c>
      <c r="AA64" s="70">
        <f t="shared" si="119"/>
        <v>-0.2721579819</v>
      </c>
      <c r="AB64" s="1"/>
      <c r="AC64" s="1"/>
      <c r="AD64" s="68">
        <f t="shared" si="49"/>
        <v>-0.1426404771</v>
      </c>
      <c r="AE64" s="70">
        <f t="shared" si="112"/>
        <v>-0.02473737826</v>
      </c>
      <c r="AF64" s="1"/>
      <c r="AG64" s="1"/>
    </row>
    <row r="65" ht="15.75" customHeight="1">
      <c r="A65" s="96"/>
      <c r="B65" s="1"/>
      <c r="C65" s="23"/>
      <c r="D65" s="2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68"/>
      <c r="R65" s="69">
        <f t="shared" si="120"/>
        <v>0</v>
      </c>
      <c r="S65" s="69">
        <f>+H65/$H$53</f>
        <v>0</v>
      </c>
      <c r="T65" s="69">
        <f>+I65/$I$53</f>
        <v>0</v>
      </c>
      <c r="U65" s="70">
        <f t="shared" si="121"/>
        <v>0</v>
      </c>
      <c r="V65" s="1"/>
      <c r="W65" s="68"/>
      <c r="X65" s="69"/>
      <c r="Y65" s="69"/>
      <c r="Z65" s="69"/>
      <c r="AA65" s="70"/>
      <c r="AB65" s="1"/>
      <c r="AC65" s="1"/>
      <c r="AD65" s="68" t="str">
        <f t="shared" si="49"/>
        <v/>
      </c>
      <c r="AE65" s="70" t="str">
        <f t="shared" si="112"/>
        <v/>
      </c>
      <c r="AF65" s="1"/>
      <c r="AG65" s="1"/>
    </row>
    <row r="66" ht="15.75" customHeight="1">
      <c r="A66" s="23"/>
      <c r="B66" s="26" t="s">
        <v>90</v>
      </c>
      <c r="C66" s="23"/>
      <c r="D66" s="2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68"/>
      <c r="R66" s="69"/>
      <c r="S66" s="69"/>
      <c r="T66" s="69"/>
      <c r="U66" s="70"/>
      <c r="V66" s="1"/>
      <c r="W66" s="68"/>
      <c r="X66" s="69"/>
      <c r="Y66" s="69"/>
      <c r="Z66" s="69"/>
      <c r="AA66" s="70"/>
      <c r="AB66" s="1"/>
      <c r="AC66" s="1"/>
      <c r="AD66" s="68" t="str">
        <f t="shared" si="49"/>
        <v/>
      </c>
      <c r="AE66" s="70" t="str">
        <f t="shared" si="112"/>
        <v/>
      </c>
      <c r="AF66" s="1"/>
      <c r="AG66" s="1"/>
    </row>
    <row r="67" ht="15.75" customHeight="1">
      <c r="A67" s="23" t="s">
        <v>81</v>
      </c>
      <c r="B67" s="36" t="s">
        <v>91</v>
      </c>
      <c r="C67" s="23" t="s">
        <v>36</v>
      </c>
      <c r="D67" s="23"/>
      <c r="E67" s="65">
        <f>576322/1000</f>
        <v>576.322</v>
      </c>
      <c r="F67" s="65">
        <f>888615/1000</f>
        <v>888.615</v>
      </c>
      <c r="G67" s="65">
        <f>485311/1000</f>
        <v>485.311</v>
      </c>
      <c r="H67" s="65">
        <f>776771/1000</f>
        <v>776.771</v>
      </c>
      <c r="I67" s="65">
        <f>667543/1000</f>
        <v>667.543</v>
      </c>
      <c r="J67" s="65">
        <f>709060/1000</f>
        <v>709.06</v>
      </c>
      <c r="K67" s="67">
        <f>'Supuestos '!L252</f>
        <v>525.1194893</v>
      </c>
      <c r="L67" s="67">
        <f>'Supuestos '!M252</f>
        <v>403.8095271</v>
      </c>
      <c r="M67" s="67">
        <f>'Supuestos '!N252</f>
        <v>276.0822678</v>
      </c>
      <c r="N67" s="67">
        <f>'Supuestos '!O252</f>
        <v>141.5982365</v>
      </c>
      <c r="O67" s="67">
        <f>'Supuestos '!P252</f>
        <v>141.5982365</v>
      </c>
      <c r="P67" s="1"/>
      <c r="Q67" s="68">
        <f t="shared" ref="Q67:Q72" si="124">+F67/$F$53</f>
        <v>0.4286733541</v>
      </c>
      <c r="R67" s="69">
        <f t="shared" ref="R67:R72" si="125">+G67/$G$53</f>
        <v>0.2240883256</v>
      </c>
      <c r="S67" s="69">
        <f t="shared" ref="S67:S72" si="126">+H67/$H$53</f>
        <v>0.3931250152</v>
      </c>
      <c r="T67" s="69">
        <f t="shared" ref="T67:T72" si="127">+I67/$I$53</f>
        <v>0.3559897076</v>
      </c>
      <c r="U67" s="70">
        <f t="shared" ref="U67:U72" si="128">+J67/$J$53</f>
        <v>0.3851857807</v>
      </c>
      <c r="V67" s="1"/>
      <c r="W67" s="68">
        <f t="shared" ref="W67:AA67" si="122">+(F67-E67)/E67</f>
        <v>0.5418724255</v>
      </c>
      <c r="X67" s="69">
        <f t="shared" si="122"/>
        <v>-0.4538568446</v>
      </c>
      <c r="Y67" s="69">
        <f t="shared" si="122"/>
        <v>0.6005633501</v>
      </c>
      <c r="Z67" s="69">
        <f t="shared" si="122"/>
        <v>-0.14061802</v>
      </c>
      <c r="AA67" s="70">
        <f t="shared" si="122"/>
        <v>0.06219374632</v>
      </c>
      <c r="AB67" s="1"/>
      <c r="AC67" s="1"/>
      <c r="AD67" s="68">
        <f t="shared" si="49"/>
        <v>0.04232596779</v>
      </c>
      <c r="AE67" s="70">
        <f t="shared" si="112"/>
        <v>-0.2754389707</v>
      </c>
      <c r="AF67" s="1"/>
      <c r="AG67" s="1"/>
    </row>
    <row r="68" ht="15.0" customHeight="1">
      <c r="A68" s="23" t="s">
        <v>62</v>
      </c>
      <c r="B68" s="36" t="s">
        <v>86</v>
      </c>
      <c r="C68" s="23" t="s">
        <v>36</v>
      </c>
      <c r="D68" s="23"/>
      <c r="E68" s="65">
        <v>0.0</v>
      </c>
      <c r="F68" s="65">
        <v>0.0</v>
      </c>
      <c r="G68" s="65">
        <f>6400/1000</f>
        <v>6.4</v>
      </c>
      <c r="H68" s="65">
        <f>3200/1000</f>
        <v>3.2</v>
      </c>
      <c r="I68" s="65">
        <v>0.0</v>
      </c>
      <c r="J68" s="65">
        <v>0.0</v>
      </c>
      <c r="K68" s="103">
        <f t="shared" ref="K68:O68" si="123">J68</f>
        <v>0</v>
      </c>
      <c r="L68" s="103">
        <f t="shared" si="123"/>
        <v>0</v>
      </c>
      <c r="M68" s="103">
        <f t="shared" si="123"/>
        <v>0</v>
      </c>
      <c r="N68" s="103">
        <f t="shared" si="123"/>
        <v>0</v>
      </c>
      <c r="O68" s="103">
        <f t="shared" si="123"/>
        <v>0</v>
      </c>
      <c r="P68" s="1"/>
      <c r="Q68" s="68">
        <f t="shared" si="124"/>
        <v>0</v>
      </c>
      <c r="R68" s="69">
        <f t="shared" si="125"/>
        <v>0.002955146873</v>
      </c>
      <c r="S68" s="69">
        <f t="shared" si="126"/>
        <v>0.001619524993</v>
      </c>
      <c r="T68" s="69">
        <f t="shared" si="127"/>
        <v>0</v>
      </c>
      <c r="U68" s="70">
        <f t="shared" si="128"/>
        <v>0</v>
      </c>
      <c r="V68" s="1"/>
      <c r="W68" s="106" t="str">
        <f t="shared" ref="W68:AA68" si="129">IFERROR((F68-E68)/E68,"-")</f>
        <v>-</v>
      </c>
      <c r="X68" s="69" t="str">
        <f t="shared" si="129"/>
        <v>-</v>
      </c>
      <c r="Y68" s="69">
        <f t="shared" si="129"/>
        <v>-0.5</v>
      </c>
      <c r="Z68" s="69">
        <f t="shared" si="129"/>
        <v>-1</v>
      </c>
      <c r="AA68" s="70" t="str">
        <f t="shared" si="129"/>
        <v>-</v>
      </c>
      <c r="AB68" s="1"/>
      <c r="AC68" s="1"/>
      <c r="AD68" s="68" t="str">
        <f t="shared" si="49"/>
        <v/>
      </c>
      <c r="AE68" s="70" t="str">
        <f t="shared" si="112"/>
        <v/>
      </c>
      <c r="AF68" s="1"/>
      <c r="AG68" s="1"/>
    </row>
    <row r="69" ht="15.0" customHeight="1">
      <c r="A69" s="23" t="s">
        <v>62</v>
      </c>
      <c r="B69" s="100" t="s">
        <v>92</v>
      </c>
      <c r="C69" s="23" t="s">
        <v>36</v>
      </c>
      <c r="D69" s="23"/>
      <c r="E69" s="65">
        <f>179089/1000</f>
        <v>179.089</v>
      </c>
      <c r="F69" s="65">
        <f>229250/1000</f>
        <v>229.25</v>
      </c>
      <c r="G69" s="65">
        <f>262370/1000</f>
        <v>262.37</v>
      </c>
      <c r="H69" s="65">
        <f>323384/1000</f>
        <v>323.384</v>
      </c>
      <c r="I69" s="65">
        <f>323474/1000</f>
        <v>323.474</v>
      </c>
      <c r="J69" s="65">
        <f>237658/1000</f>
        <v>237.658</v>
      </c>
      <c r="K69" s="103">
        <f t="shared" ref="K69:O69" si="130">J69</f>
        <v>237.658</v>
      </c>
      <c r="L69" s="103">
        <f t="shared" si="130"/>
        <v>237.658</v>
      </c>
      <c r="M69" s="103">
        <f t="shared" si="130"/>
        <v>237.658</v>
      </c>
      <c r="N69" s="103">
        <f t="shared" si="130"/>
        <v>237.658</v>
      </c>
      <c r="O69" s="103">
        <f t="shared" si="130"/>
        <v>237.658</v>
      </c>
      <c r="P69" s="1"/>
      <c r="Q69" s="68">
        <f t="shared" si="124"/>
        <v>0.1105916133</v>
      </c>
      <c r="R69" s="69">
        <f t="shared" si="125"/>
        <v>0.1211471695</v>
      </c>
      <c r="S69" s="69">
        <f t="shared" si="126"/>
        <v>0.163665147</v>
      </c>
      <c r="T69" s="69">
        <f t="shared" si="127"/>
        <v>0.1725033664</v>
      </c>
      <c r="U69" s="70">
        <f t="shared" si="128"/>
        <v>0.1291040001</v>
      </c>
      <c r="V69" s="1"/>
      <c r="W69" s="68">
        <f t="shared" ref="W69:AA69" si="131">+(F69-E69)/E69</f>
        <v>0.2800897878</v>
      </c>
      <c r="X69" s="69">
        <f t="shared" si="131"/>
        <v>0.1444711014</v>
      </c>
      <c r="Y69" s="69">
        <f t="shared" si="131"/>
        <v>0.2325494531</v>
      </c>
      <c r="Z69" s="69">
        <f t="shared" si="131"/>
        <v>0.0002783069045</v>
      </c>
      <c r="AA69" s="70">
        <f t="shared" si="131"/>
        <v>-0.2652948923</v>
      </c>
      <c r="AB69" s="1"/>
      <c r="AC69" s="1"/>
      <c r="AD69" s="68">
        <f t="shared" si="49"/>
        <v>0.05822180317</v>
      </c>
      <c r="AE69" s="70">
        <f t="shared" si="112"/>
        <v>0</v>
      </c>
      <c r="AF69" s="1"/>
      <c r="AG69" s="1"/>
    </row>
    <row r="70" ht="15.75" customHeight="1">
      <c r="A70" s="96" t="s">
        <v>62</v>
      </c>
      <c r="B70" s="36" t="s">
        <v>93</v>
      </c>
      <c r="C70" s="23" t="s">
        <v>36</v>
      </c>
      <c r="D70" s="23"/>
      <c r="E70" s="65">
        <f>142989/1000</f>
        <v>142.989</v>
      </c>
      <c r="F70" s="65">
        <f>187277/1000</f>
        <v>187.277</v>
      </c>
      <c r="G70" s="65">
        <f>199831/1000</f>
        <v>199.831</v>
      </c>
      <c r="H70" s="65">
        <f>136277/1000</f>
        <v>136.277</v>
      </c>
      <c r="I70" s="65">
        <f>78857/1000</f>
        <v>78.857</v>
      </c>
      <c r="J70" s="65">
        <f>123509/1000</f>
        <v>123.509</v>
      </c>
      <c r="K70" s="103">
        <f t="shared" ref="K70:O70" si="132">J70</f>
        <v>123.509</v>
      </c>
      <c r="L70" s="103">
        <f t="shared" si="132"/>
        <v>123.509</v>
      </c>
      <c r="M70" s="103">
        <f t="shared" si="132"/>
        <v>123.509</v>
      </c>
      <c r="N70" s="103">
        <f t="shared" si="132"/>
        <v>123.509</v>
      </c>
      <c r="O70" s="103">
        <f t="shared" si="132"/>
        <v>123.509</v>
      </c>
      <c r="P70" s="1"/>
      <c r="Q70" s="68">
        <f t="shared" si="124"/>
        <v>0.09034357932</v>
      </c>
      <c r="R70" s="69">
        <f t="shared" si="125"/>
        <v>0.09227030544</v>
      </c>
      <c r="S70" s="69">
        <f t="shared" si="126"/>
        <v>0.06897000235</v>
      </c>
      <c r="T70" s="69">
        <f t="shared" si="127"/>
        <v>0.04205314171</v>
      </c>
      <c r="U70" s="70">
        <f t="shared" si="128"/>
        <v>0.067094337</v>
      </c>
      <c r="V70" s="1"/>
      <c r="W70" s="68">
        <f t="shared" ref="W70:AA70" si="133">+(F70-E70)/E70</f>
        <v>0.3097301191</v>
      </c>
      <c r="X70" s="69">
        <f t="shared" si="133"/>
        <v>0.0670343929</v>
      </c>
      <c r="Y70" s="69">
        <f t="shared" si="133"/>
        <v>-0.3180387427</v>
      </c>
      <c r="Z70" s="69">
        <f t="shared" si="133"/>
        <v>-0.4213476962</v>
      </c>
      <c r="AA70" s="70">
        <f t="shared" si="133"/>
        <v>0.5662401562</v>
      </c>
      <c r="AB70" s="1"/>
      <c r="AC70" s="1"/>
      <c r="AD70" s="68">
        <f t="shared" si="49"/>
        <v>-0.0288659195</v>
      </c>
      <c r="AE70" s="70">
        <f t="shared" si="112"/>
        <v>0</v>
      </c>
      <c r="AF70" s="1"/>
      <c r="AG70" s="1"/>
    </row>
    <row r="71" ht="15.75" customHeight="1">
      <c r="A71" s="96"/>
      <c r="B71" s="36" t="s">
        <v>94</v>
      </c>
      <c r="C71" s="23" t="s">
        <v>36</v>
      </c>
      <c r="D71" s="23"/>
      <c r="E71" s="65">
        <v>0.0</v>
      </c>
      <c r="F71" s="65">
        <v>0.0</v>
      </c>
      <c r="G71" s="65">
        <v>0.0</v>
      </c>
      <c r="H71" s="65">
        <v>0.0</v>
      </c>
      <c r="I71" s="65">
        <f>(577/1000)</f>
        <v>0.577</v>
      </c>
      <c r="J71" s="65">
        <f>602/1000</f>
        <v>0.602</v>
      </c>
      <c r="K71" s="103">
        <v>0.0</v>
      </c>
      <c r="L71" s="103">
        <v>0.0</v>
      </c>
      <c r="M71" s="103">
        <v>0.0</v>
      </c>
      <c r="N71" s="103">
        <v>0.0</v>
      </c>
      <c r="O71" s="103">
        <v>0.0</v>
      </c>
      <c r="P71" s="1"/>
      <c r="Q71" s="68">
        <f t="shared" si="124"/>
        <v>0</v>
      </c>
      <c r="R71" s="69">
        <f t="shared" si="125"/>
        <v>0</v>
      </c>
      <c r="S71" s="69">
        <f t="shared" si="126"/>
        <v>0</v>
      </c>
      <c r="T71" s="69">
        <f t="shared" si="127"/>
        <v>0.0003077046142</v>
      </c>
      <c r="U71" s="70">
        <f t="shared" si="128"/>
        <v>0.0003270271063</v>
      </c>
      <c r="V71" s="1"/>
      <c r="W71" s="68"/>
      <c r="X71" s="69"/>
      <c r="Y71" s="69"/>
      <c r="Z71" s="69"/>
      <c r="AA71" s="70"/>
      <c r="AB71" s="1"/>
      <c r="AC71" s="1"/>
      <c r="AD71" s="68" t="str">
        <f t="shared" si="49"/>
        <v/>
      </c>
      <c r="AE71" s="70">
        <f t="shared" si="112"/>
        <v>-1</v>
      </c>
      <c r="AF71" s="1"/>
      <c r="AG71" s="1"/>
    </row>
    <row r="72" ht="15.75" customHeight="1">
      <c r="A72" s="23"/>
      <c r="B72" s="82" t="s">
        <v>95</v>
      </c>
      <c r="C72" s="83" t="s">
        <v>36</v>
      </c>
      <c r="D72" s="83"/>
      <c r="E72" s="105">
        <f t="shared" ref="E72:O72" si="134">SUM(E67:E71)</f>
        <v>898.4</v>
      </c>
      <c r="F72" s="105">
        <f t="shared" si="134"/>
        <v>1305.142</v>
      </c>
      <c r="G72" s="105">
        <f t="shared" si="134"/>
        <v>953.912</v>
      </c>
      <c r="H72" s="105">
        <f t="shared" si="134"/>
        <v>1239.632</v>
      </c>
      <c r="I72" s="105">
        <f t="shared" si="134"/>
        <v>1070.451</v>
      </c>
      <c r="J72" s="105">
        <f t="shared" si="134"/>
        <v>1070.829</v>
      </c>
      <c r="K72" s="85">
        <f t="shared" si="134"/>
        <v>886.2864893</v>
      </c>
      <c r="L72" s="85">
        <f t="shared" si="134"/>
        <v>764.9765271</v>
      </c>
      <c r="M72" s="85">
        <f t="shared" si="134"/>
        <v>637.2492678</v>
      </c>
      <c r="N72" s="85">
        <f t="shared" si="134"/>
        <v>502.7652365</v>
      </c>
      <c r="O72" s="85">
        <f t="shared" si="134"/>
        <v>502.7652365</v>
      </c>
      <c r="P72" s="36"/>
      <c r="Q72" s="68">
        <f t="shared" si="124"/>
        <v>0.6296085467</v>
      </c>
      <c r="R72" s="69">
        <f t="shared" si="125"/>
        <v>0.4404609475</v>
      </c>
      <c r="S72" s="69">
        <f t="shared" si="126"/>
        <v>0.6273796895</v>
      </c>
      <c r="T72" s="69">
        <f t="shared" si="127"/>
        <v>0.5708539203</v>
      </c>
      <c r="U72" s="70">
        <f t="shared" si="128"/>
        <v>0.5817111449</v>
      </c>
      <c r="V72" s="1"/>
      <c r="W72" s="68">
        <f t="shared" ref="W72:AA72" si="135">+(F72-E72)/E72</f>
        <v>0.4527404274</v>
      </c>
      <c r="X72" s="69">
        <f t="shared" si="135"/>
        <v>-0.2691124797</v>
      </c>
      <c r="Y72" s="69">
        <f t="shared" si="135"/>
        <v>0.2995244844</v>
      </c>
      <c r="Z72" s="69">
        <f t="shared" si="135"/>
        <v>-0.1364767931</v>
      </c>
      <c r="AA72" s="70">
        <f t="shared" si="135"/>
        <v>0.0003531221887</v>
      </c>
      <c r="AB72" s="1"/>
      <c r="AC72" s="1"/>
      <c r="AD72" s="68">
        <f t="shared" si="49"/>
        <v>0.03573839563</v>
      </c>
      <c r="AE72" s="70">
        <f t="shared" si="112"/>
        <v>-0.1403354396</v>
      </c>
      <c r="AF72" s="1"/>
      <c r="AG72" s="1"/>
    </row>
    <row r="73" ht="15.75" customHeight="1">
      <c r="A73" s="23"/>
      <c r="B73" s="1"/>
      <c r="C73" s="23"/>
      <c r="D73" s="2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68"/>
      <c r="R73" s="69"/>
      <c r="S73" s="69"/>
      <c r="T73" s="69"/>
      <c r="U73" s="70"/>
      <c r="V73" s="1"/>
      <c r="W73" s="68"/>
      <c r="X73" s="69"/>
      <c r="Y73" s="69"/>
      <c r="Z73" s="69"/>
      <c r="AA73" s="70"/>
      <c r="AB73" s="1"/>
      <c r="AC73" s="1"/>
      <c r="AD73" s="68" t="str">
        <f t="shared" si="49"/>
        <v/>
      </c>
      <c r="AE73" s="70" t="str">
        <f t="shared" si="112"/>
        <v/>
      </c>
      <c r="AF73" s="1"/>
      <c r="AG73" s="1"/>
    </row>
    <row r="74" ht="15.75" customHeight="1">
      <c r="A74" s="23"/>
      <c r="B74" s="72" t="s">
        <v>96</v>
      </c>
      <c r="C74" s="73" t="s">
        <v>36</v>
      </c>
      <c r="D74" s="73"/>
      <c r="E74" s="74">
        <f t="shared" ref="E74:O74" si="136">E64+E72</f>
        <v>1589.872</v>
      </c>
      <c r="F74" s="74">
        <f t="shared" si="136"/>
        <v>1656.021</v>
      </c>
      <c r="G74" s="74">
        <f t="shared" si="136"/>
        <v>1708.846</v>
      </c>
      <c r="H74" s="74">
        <f t="shared" si="136"/>
        <v>1600.635</v>
      </c>
      <c r="I74" s="74">
        <f t="shared" si="136"/>
        <v>1510.552</v>
      </c>
      <c r="J74" s="74">
        <f t="shared" si="136"/>
        <v>1391.153</v>
      </c>
      <c r="K74" s="74">
        <f t="shared" si="136"/>
        <v>1214.921363</v>
      </c>
      <c r="L74" s="74">
        <f t="shared" si="136"/>
        <v>1132.87376</v>
      </c>
      <c r="M74" s="74">
        <f t="shared" si="136"/>
        <v>1038.684691</v>
      </c>
      <c r="N74" s="74">
        <f t="shared" si="136"/>
        <v>1140.250794</v>
      </c>
      <c r="O74" s="74">
        <f t="shared" si="136"/>
        <v>785.3816477</v>
      </c>
      <c r="P74" s="36"/>
      <c r="Q74" s="68">
        <f>+F74/$F$53</f>
        <v>0.7988747394</v>
      </c>
      <c r="R74" s="69">
        <f>+G74/$G$53</f>
        <v>0.7890454552</v>
      </c>
      <c r="S74" s="69">
        <f>+H74/$H$53</f>
        <v>0.8100838712</v>
      </c>
      <c r="T74" s="69">
        <f>+I74/$I$53</f>
        <v>0.8055525484</v>
      </c>
      <c r="U74" s="70">
        <f>+J74/$J$53</f>
        <v>0.7557221595</v>
      </c>
      <c r="V74" s="1"/>
      <c r="W74" s="68">
        <f t="shared" ref="W74:AA74" si="137">+(F74-E74)/E74</f>
        <v>0.04160649411</v>
      </c>
      <c r="X74" s="69">
        <f t="shared" si="137"/>
        <v>0.03189875008</v>
      </c>
      <c r="Y74" s="69">
        <f t="shared" si="137"/>
        <v>-0.06332402101</v>
      </c>
      <c r="Z74" s="69">
        <f t="shared" si="137"/>
        <v>-0.05627953906</v>
      </c>
      <c r="AA74" s="70">
        <f t="shared" si="137"/>
        <v>-0.07904329013</v>
      </c>
      <c r="AB74" s="1"/>
      <c r="AC74" s="1"/>
      <c r="AD74" s="68">
        <f t="shared" si="49"/>
        <v>-0.02635071972</v>
      </c>
      <c r="AE74" s="70">
        <f t="shared" si="112"/>
        <v>-0.1080486433</v>
      </c>
      <c r="AF74" s="1"/>
      <c r="AG74" s="1"/>
    </row>
    <row r="75" ht="15.75" customHeight="1">
      <c r="A75" s="23"/>
      <c r="B75" s="1"/>
      <c r="C75" s="23"/>
      <c r="D75" s="2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68"/>
      <c r="R75" s="69"/>
      <c r="S75" s="69"/>
      <c r="T75" s="69"/>
      <c r="U75" s="70"/>
      <c r="V75" s="1"/>
      <c r="W75" s="68"/>
      <c r="X75" s="69"/>
      <c r="Y75" s="69"/>
      <c r="Z75" s="69"/>
      <c r="AA75" s="70"/>
      <c r="AB75" s="1"/>
      <c r="AC75" s="1"/>
      <c r="AD75" s="68" t="str">
        <f t="shared" si="49"/>
        <v/>
      </c>
      <c r="AE75" s="70" t="str">
        <f t="shared" si="112"/>
        <v/>
      </c>
      <c r="AF75" s="1"/>
      <c r="AG75" s="1"/>
    </row>
    <row r="76" ht="15.75" customHeight="1">
      <c r="A76" s="23"/>
      <c r="B76" s="94" t="s">
        <v>97</v>
      </c>
      <c r="C76" s="23"/>
      <c r="D76" s="2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68"/>
      <c r="R76" s="69"/>
      <c r="S76" s="69"/>
      <c r="T76" s="69"/>
      <c r="U76" s="70"/>
      <c r="V76" s="1"/>
      <c r="W76" s="68"/>
      <c r="X76" s="69"/>
      <c r="Y76" s="69"/>
      <c r="Z76" s="69"/>
      <c r="AA76" s="70"/>
      <c r="AB76" s="1"/>
      <c r="AC76" s="1"/>
      <c r="AD76" s="68" t="str">
        <f t="shared" si="49"/>
        <v/>
      </c>
      <c r="AE76" s="70" t="str">
        <f t="shared" si="112"/>
        <v/>
      </c>
      <c r="AF76" s="1"/>
      <c r="AG76" s="1"/>
    </row>
    <row r="77" ht="15.75" customHeight="1">
      <c r="A77" s="23" t="s">
        <v>98</v>
      </c>
      <c r="B77" s="36" t="s">
        <v>99</v>
      </c>
      <c r="C77" s="23" t="s">
        <v>36</v>
      </c>
      <c r="D77" s="23"/>
      <c r="E77" s="65">
        <f t="shared" ref="E77:H77" si="138">1134300/1000</f>
        <v>1134.3</v>
      </c>
      <c r="F77" s="65">
        <f t="shared" si="138"/>
        <v>1134.3</v>
      </c>
      <c r="G77" s="65">
        <f t="shared" si="138"/>
        <v>1134.3</v>
      </c>
      <c r="H77" s="65">
        <f t="shared" si="138"/>
        <v>1134.3</v>
      </c>
      <c r="I77" s="65">
        <f>906680/1000</f>
        <v>906.68</v>
      </c>
      <c r="J77" s="65">
        <f>774294/1000</f>
        <v>774.294</v>
      </c>
      <c r="K77" s="79">
        <f t="shared" ref="K77:O77" si="139">J77</f>
        <v>774.294</v>
      </c>
      <c r="L77" s="79">
        <f t="shared" si="139"/>
        <v>774.294</v>
      </c>
      <c r="M77" s="79">
        <f t="shared" si="139"/>
        <v>774.294</v>
      </c>
      <c r="N77" s="79">
        <f t="shared" si="139"/>
        <v>774.294</v>
      </c>
      <c r="O77" s="79">
        <f t="shared" si="139"/>
        <v>774.294</v>
      </c>
      <c r="P77" s="1"/>
      <c r="Q77" s="68">
        <f t="shared" ref="Q77:Q83" si="143">+F77/$F$53</f>
        <v>0.5471933127</v>
      </c>
      <c r="R77" s="69">
        <f t="shared" ref="R77:R83" si="144">+G77/$G$53</f>
        <v>0.5237536091</v>
      </c>
      <c r="S77" s="69">
        <f t="shared" ref="S77:S83" si="145">+H77/$H$53</f>
        <v>0.574071</v>
      </c>
      <c r="T77" s="69">
        <f t="shared" ref="T77:T83" si="146">+I77/$I$53</f>
        <v>0.4835175384</v>
      </c>
      <c r="U77" s="70">
        <f t="shared" ref="U77:U83" si="147">+J77/$J$53</f>
        <v>0.4206231333</v>
      </c>
      <c r="V77" s="1"/>
      <c r="W77" s="68">
        <f t="shared" ref="W77:AA77" si="140">+(F77-E77)/E77</f>
        <v>0</v>
      </c>
      <c r="X77" s="69">
        <f t="shared" si="140"/>
        <v>0</v>
      </c>
      <c r="Y77" s="69">
        <f t="shared" si="140"/>
        <v>0</v>
      </c>
      <c r="Z77" s="69">
        <f t="shared" si="140"/>
        <v>-0.2006700168</v>
      </c>
      <c r="AA77" s="70">
        <f t="shared" si="140"/>
        <v>-0.1460118234</v>
      </c>
      <c r="AB77" s="1"/>
      <c r="AC77" s="1"/>
      <c r="AD77" s="68">
        <f t="shared" si="49"/>
        <v>-0.07352097329</v>
      </c>
      <c r="AE77" s="70">
        <f t="shared" si="112"/>
        <v>0</v>
      </c>
      <c r="AF77" s="1"/>
      <c r="AG77" s="1"/>
    </row>
    <row r="78" ht="15.75" customHeight="1">
      <c r="A78" s="23" t="s">
        <v>98</v>
      </c>
      <c r="B78" s="36" t="s">
        <v>100</v>
      </c>
      <c r="C78" s="23" t="s">
        <v>36</v>
      </c>
      <c r="D78" s="23"/>
      <c r="E78" s="65">
        <f>-60926/1000</f>
        <v>-60.926</v>
      </c>
      <c r="F78" s="65">
        <f>-60930/1000</f>
        <v>-60.93</v>
      </c>
      <c r="G78" s="65">
        <f t="shared" ref="G78:I78" si="141">-60934/1000</f>
        <v>-60.934</v>
      </c>
      <c r="H78" s="65">
        <f t="shared" si="141"/>
        <v>-60.934</v>
      </c>
      <c r="I78" s="65">
        <f t="shared" si="141"/>
        <v>-60.934</v>
      </c>
      <c r="J78" s="65">
        <f>-41511/1000</f>
        <v>-41.511</v>
      </c>
      <c r="K78" s="79">
        <f t="shared" ref="K78:O78" si="142">J78</f>
        <v>-41.511</v>
      </c>
      <c r="L78" s="79">
        <f t="shared" si="142"/>
        <v>-41.511</v>
      </c>
      <c r="M78" s="79">
        <f t="shared" si="142"/>
        <v>-41.511</v>
      </c>
      <c r="N78" s="79">
        <f t="shared" si="142"/>
        <v>-41.511</v>
      </c>
      <c r="O78" s="79">
        <f t="shared" si="142"/>
        <v>-41.511</v>
      </c>
      <c r="P78" s="1"/>
      <c r="Q78" s="68">
        <f t="shared" si="143"/>
        <v>-0.02939300762</v>
      </c>
      <c r="R78" s="69">
        <f t="shared" si="144"/>
        <v>-0.02813576868</v>
      </c>
      <c r="S78" s="69">
        <f t="shared" si="145"/>
        <v>-0.03083879248</v>
      </c>
      <c r="T78" s="69">
        <f t="shared" si="146"/>
        <v>-0.03249510046</v>
      </c>
      <c r="U78" s="70">
        <f t="shared" si="147"/>
        <v>-0.02255020301</v>
      </c>
      <c r="V78" s="1"/>
      <c r="W78" s="68">
        <f t="shared" ref="W78:AA78" si="148">+(F78-E78)/E78</f>
        <v>0.00006565341562</v>
      </c>
      <c r="X78" s="69">
        <f t="shared" si="148"/>
        <v>0.00006564910553</v>
      </c>
      <c r="Y78" s="69">
        <f t="shared" si="148"/>
        <v>0</v>
      </c>
      <c r="Z78" s="69">
        <f t="shared" si="148"/>
        <v>0</v>
      </c>
      <c r="AA78" s="70">
        <f t="shared" si="148"/>
        <v>-0.3187547182</v>
      </c>
      <c r="AB78" s="1"/>
      <c r="AC78" s="1"/>
      <c r="AD78" s="68">
        <f t="shared" si="49"/>
        <v>-0.07386967281</v>
      </c>
      <c r="AE78" s="70">
        <f t="shared" si="112"/>
        <v>0</v>
      </c>
      <c r="AF78" s="1"/>
      <c r="AG78" s="1"/>
    </row>
    <row r="79" ht="15.75" customHeight="1">
      <c r="A79" s="23" t="s">
        <v>98</v>
      </c>
      <c r="B79" s="36" t="s">
        <v>101</v>
      </c>
      <c r="C79" s="23" t="s">
        <v>36</v>
      </c>
      <c r="D79" s="23"/>
      <c r="E79" s="65">
        <f t="shared" ref="E79:F79" si="149">11755/1000</f>
        <v>11.755</v>
      </c>
      <c r="F79" s="65">
        <f t="shared" si="149"/>
        <v>11.755</v>
      </c>
      <c r="G79" s="65">
        <f t="shared" ref="G79:H79" si="150">10695/1000</f>
        <v>10.695</v>
      </c>
      <c r="H79" s="65">
        <f t="shared" si="150"/>
        <v>10.695</v>
      </c>
      <c r="I79" s="65">
        <f>10416/1000</f>
        <v>10.416</v>
      </c>
      <c r="J79" s="65">
        <f>10492/1000</f>
        <v>10.492</v>
      </c>
      <c r="K79" s="79">
        <f t="shared" ref="K79:O79" si="151">J79</f>
        <v>10.492</v>
      </c>
      <c r="L79" s="79">
        <f t="shared" si="151"/>
        <v>10.492</v>
      </c>
      <c r="M79" s="79">
        <f t="shared" si="151"/>
        <v>10.492</v>
      </c>
      <c r="N79" s="79">
        <f t="shared" si="151"/>
        <v>10.492</v>
      </c>
      <c r="O79" s="79">
        <f t="shared" si="151"/>
        <v>10.492</v>
      </c>
      <c r="P79" s="1"/>
      <c r="Q79" s="68">
        <f t="shared" si="143"/>
        <v>0.005670684467</v>
      </c>
      <c r="R79" s="69">
        <f t="shared" si="144"/>
        <v>0.00493832747</v>
      </c>
      <c r="S79" s="69">
        <f t="shared" si="145"/>
        <v>0.005412756189</v>
      </c>
      <c r="T79" s="69">
        <f t="shared" si="146"/>
        <v>0.005554681563</v>
      </c>
      <c r="U79" s="70">
        <f t="shared" si="147"/>
        <v>0.005699615281</v>
      </c>
      <c r="V79" s="1"/>
      <c r="W79" s="68">
        <f t="shared" ref="W79:AA79" si="152">+(F79-E79)/E79</f>
        <v>0</v>
      </c>
      <c r="X79" s="69">
        <f t="shared" si="152"/>
        <v>-0.09017439387</v>
      </c>
      <c r="Y79" s="69">
        <f t="shared" si="152"/>
        <v>0</v>
      </c>
      <c r="Z79" s="69">
        <f t="shared" si="152"/>
        <v>-0.02608695652</v>
      </c>
      <c r="AA79" s="70">
        <f t="shared" si="152"/>
        <v>0.007296466974</v>
      </c>
      <c r="AB79" s="1"/>
      <c r="AC79" s="1"/>
      <c r="AD79" s="68">
        <f t="shared" si="49"/>
        <v>-0.02247667352</v>
      </c>
      <c r="AE79" s="70">
        <f t="shared" si="112"/>
        <v>0</v>
      </c>
      <c r="AF79" s="1"/>
      <c r="AG79" s="1"/>
    </row>
    <row r="80" ht="15.75" customHeight="1">
      <c r="A80" s="23" t="s">
        <v>98</v>
      </c>
      <c r="B80" s="36" t="s">
        <v>102</v>
      </c>
      <c r="C80" s="23" t="s">
        <v>36</v>
      </c>
      <c r="D80" s="23"/>
      <c r="E80" s="65">
        <f>-173217/1000</f>
        <v>-173.217</v>
      </c>
      <c r="F80" s="65">
        <f>-173231/1000</f>
        <v>-173.231</v>
      </c>
      <c r="G80" s="65">
        <f t="shared" ref="G80:I80" si="153">-173234/1000</f>
        <v>-173.234</v>
      </c>
      <c r="H80" s="65">
        <f t="shared" si="153"/>
        <v>-173.234</v>
      </c>
      <c r="I80" s="65">
        <f t="shared" si="153"/>
        <v>-173.234</v>
      </c>
      <c r="J80" s="65">
        <f>-162285/1000</f>
        <v>-162.285</v>
      </c>
      <c r="K80" s="79">
        <f t="shared" ref="K80:O80" si="154">J80</f>
        <v>-162.285</v>
      </c>
      <c r="L80" s="79">
        <f t="shared" si="154"/>
        <v>-162.285</v>
      </c>
      <c r="M80" s="79">
        <f t="shared" si="154"/>
        <v>-162.285</v>
      </c>
      <c r="N80" s="79">
        <f t="shared" si="154"/>
        <v>-162.285</v>
      </c>
      <c r="O80" s="79">
        <f t="shared" si="154"/>
        <v>-162.285</v>
      </c>
      <c r="P80" s="1"/>
      <c r="Q80" s="68">
        <f t="shared" si="143"/>
        <v>-0.08356770233</v>
      </c>
      <c r="R80" s="69">
        <f t="shared" si="144"/>
        <v>-0.07998936147</v>
      </c>
      <c r="S80" s="69">
        <f t="shared" si="145"/>
        <v>-0.08767399772</v>
      </c>
      <c r="T80" s="69">
        <f t="shared" si="146"/>
        <v>-0.09238284427</v>
      </c>
      <c r="U80" s="70">
        <f t="shared" si="147"/>
        <v>-0.08815879393</v>
      </c>
      <c r="V80" s="1"/>
      <c r="W80" s="68">
        <f t="shared" ref="W80:AA80" si="155">+(F80-E80)/E80</f>
        <v>0.00008082347576</v>
      </c>
      <c r="X80" s="69">
        <f t="shared" si="155"/>
        <v>0.00001731791654</v>
      </c>
      <c r="Y80" s="69">
        <f t="shared" si="155"/>
        <v>0</v>
      </c>
      <c r="Z80" s="69">
        <f t="shared" si="155"/>
        <v>0</v>
      </c>
      <c r="AA80" s="70">
        <f t="shared" si="155"/>
        <v>-0.06320352818</v>
      </c>
      <c r="AB80" s="1"/>
      <c r="AC80" s="1"/>
      <c r="AD80" s="68">
        <f t="shared" si="49"/>
        <v>-0.01295358961</v>
      </c>
      <c r="AE80" s="70">
        <f t="shared" si="112"/>
        <v>0</v>
      </c>
      <c r="AF80" s="1"/>
      <c r="AG80" s="1"/>
    </row>
    <row r="81" ht="15.75" customHeight="1">
      <c r="A81" s="23" t="s">
        <v>98</v>
      </c>
      <c r="B81" s="36" t="s">
        <v>103</v>
      </c>
      <c r="C81" s="23" t="s">
        <v>36</v>
      </c>
      <c r="D81" s="23"/>
      <c r="E81" s="65">
        <f>-5918/1000</f>
        <v>-5.918</v>
      </c>
      <c r="F81" s="65">
        <f>-9265/1000</f>
        <v>-9.265</v>
      </c>
      <c r="G81" s="65">
        <f>-9504/1000</f>
        <v>-9.504</v>
      </c>
      <c r="H81" s="65">
        <f>-9436/1000</f>
        <v>-9.436</v>
      </c>
      <c r="I81" s="65">
        <f>-10208/1000</f>
        <v>-10.208</v>
      </c>
      <c r="J81" s="65">
        <f>49406/1000</f>
        <v>49.406</v>
      </c>
      <c r="K81" s="79">
        <f t="shared" ref="K81:O81" si="156">J81</f>
        <v>49.406</v>
      </c>
      <c r="L81" s="79">
        <f t="shared" si="156"/>
        <v>49.406</v>
      </c>
      <c r="M81" s="79">
        <f t="shared" si="156"/>
        <v>49.406</v>
      </c>
      <c r="N81" s="79">
        <f t="shared" si="156"/>
        <v>49.406</v>
      </c>
      <c r="O81" s="79">
        <f t="shared" si="156"/>
        <v>49.406</v>
      </c>
      <c r="P81" s="1"/>
      <c r="Q81" s="68">
        <f t="shared" si="143"/>
        <v>-0.004469493117</v>
      </c>
      <c r="R81" s="69">
        <f t="shared" si="144"/>
        <v>-0.004388393107</v>
      </c>
      <c r="S81" s="69">
        <f t="shared" si="145"/>
        <v>-0.004775574324</v>
      </c>
      <c r="T81" s="69">
        <f t="shared" si="146"/>
        <v>-0.005443758583</v>
      </c>
      <c r="U81" s="70">
        <f t="shared" si="147"/>
        <v>0.02683903856</v>
      </c>
      <c r="V81" s="1"/>
      <c r="W81" s="68">
        <f t="shared" ref="W81:AA81" si="157">+(F81-E81)/E81</f>
        <v>0.5655626901</v>
      </c>
      <c r="X81" s="69">
        <f t="shared" si="157"/>
        <v>0.02579600648</v>
      </c>
      <c r="Y81" s="69">
        <f t="shared" si="157"/>
        <v>-0.007154882155</v>
      </c>
      <c r="Z81" s="69">
        <f t="shared" si="157"/>
        <v>0.08181432811</v>
      </c>
      <c r="AA81" s="70">
        <f t="shared" si="157"/>
        <v>-5.839929467</v>
      </c>
      <c r="AB81" s="1"/>
      <c r="AC81" s="1"/>
      <c r="AD81" s="68">
        <f t="shared" si="49"/>
        <v>-2.528695357</v>
      </c>
      <c r="AE81" s="70">
        <f t="shared" si="112"/>
        <v>0</v>
      </c>
      <c r="AF81" s="1"/>
      <c r="AG81" s="1"/>
    </row>
    <row r="82" ht="15.75" customHeight="1">
      <c r="A82" s="23" t="s">
        <v>98</v>
      </c>
      <c r="B82" s="36" t="s">
        <v>104</v>
      </c>
      <c r="C82" s="80" t="s">
        <v>36</v>
      </c>
      <c r="D82" s="23"/>
      <c r="E82" s="65">
        <f>-335265/1000</f>
        <v>-335.265</v>
      </c>
      <c r="F82" s="65">
        <f>-485708/1000</f>
        <v>-485.708</v>
      </c>
      <c r="G82" s="65">
        <f>-444656/1000</f>
        <v>-444.656</v>
      </c>
      <c r="H82" s="65">
        <f>-526038/1000</f>
        <v>-526.038</v>
      </c>
      <c r="I82" s="65">
        <f>-308122/1000</f>
        <v>-308.122</v>
      </c>
      <c r="J82" s="65">
        <f>-180698/1000</f>
        <v>-180.698</v>
      </c>
      <c r="K82" s="107">
        <f>'Supuestos '!L264</f>
        <v>109.1148609</v>
      </c>
      <c r="L82" s="107">
        <f>'Supuestos '!M264</f>
        <v>438.9927107</v>
      </c>
      <c r="M82" s="107">
        <f>'Supuestos '!N264</f>
        <v>819.4517096</v>
      </c>
      <c r="N82" s="107">
        <f>'Supuestos '!O264</f>
        <v>1217.145816</v>
      </c>
      <c r="O82" s="107">
        <f>'Supuestos '!P264</f>
        <v>1629.289367</v>
      </c>
      <c r="P82" s="1"/>
      <c r="Q82" s="68">
        <f t="shared" si="143"/>
        <v>-0.2343085335</v>
      </c>
      <c r="R82" s="69">
        <f t="shared" si="144"/>
        <v>-0.2053162169</v>
      </c>
      <c r="S82" s="69">
        <f t="shared" si="145"/>
        <v>-0.2662286526</v>
      </c>
      <c r="T82" s="69">
        <f t="shared" si="146"/>
        <v>-0.1643163971</v>
      </c>
      <c r="U82" s="70">
        <f t="shared" si="147"/>
        <v>-0.09816136886</v>
      </c>
      <c r="V82" s="1"/>
      <c r="W82" s="68">
        <f t="shared" ref="W82:AA82" si="158">+(F82-E82)/E82</f>
        <v>0.4487286177</v>
      </c>
      <c r="X82" s="69">
        <f t="shared" si="158"/>
        <v>-0.08451991732</v>
      </c>
      <c r="Y82" s="69">
        <f t="shared" si="158"/>
        <v>0.1830223813</v>
      </c>
      <c r="Z82" s="69">
        <f t="shared" si="158"/>
        <v>-0.4142590459</v>
      </c>
      <c r="AA82" s="70">
        <f t="shared" si="158"/>
        <v>-0.4135504768</v>
      </c>
      <c r="AB82" s="1"/>
      <c r="AC82" s="1"/>
      <c r="AD82" s="68">
        <f t="shared" si="49"/>
        <v>-0.1162833743</v>
      </c>
      <c r="AE82" s="70">
        <f t="shared" si="112"/>
        <v>-2.552419093</v>
      </c>
      <c r="AF82" s="1"/>
      <c r="AG82" s="1"/>
    </row>
    <row r="83" ht="15.75" customHeight="1">
      <c r="A83" s="23"/>
      <c r="B83" s="82" t="s">
        <v>105</v>
      </c>
      <c r="C83" s="23" t="s">
        <v>36</v>
      </c>
      <c r="D83" s="83"/>
      <c r="E83" s="105">
        <f t="shared" ref="E83:O83" si="159">SUM(E77:E82)</f>
        <v>570.729</v>
      </c>
      <c r="F83" s="105">
        <f t="shared" si="159"/>
        <v>416.921</v>
      </c>
      <c r="G83" s="105">
        <f t="shared" si="159"/>
        <v>456.667</v>
      </c>
      <c r="H83" s="105">
        <f t="shared" si="159"/>
        <v>375.353</v>
      </c>
      <c r="I83" s="105">
        <f t="shared" si="159"/>
        <v>364.598</v>
      </c>
      <c r="J83" s="105">
        <f t="shared" si="159"/>
        <v>449.698</v>
      </c>
      <c r="K83" s="108">
        <f t="shared" si="159"/>
        <v>739.5108609</v>
      </c>
      <c r="L83" s="108">
        <f t="shared" si="159"/>
        <v>1069.388711</v>
      </c>
      <c r="M83" s="108">
        <f t="shared" si="159"/>
        <v>1449.84771</v>
      </c>
      <c r="N83" s="108">
        <f t="shared" si="159"/>
        <v>1847.541816</v>
      </c>
      <c r="O83" s="108">
        <f t="shared" si="159"/>
        <v>2259.685367</v>
      </c>
      <c r="P83" s="36"/>
      <c r="Q83" s="68">
        <f t="shared" si="143"/>
        <v>0.2011252606</v>
      </c>
      <c r="R83" s="69">
        <f t="shared" si="144"/>
        <v>0.2108621964</v>
      </c>
      <c r="S83" s="69">
        <f t="shared" si="145"/>
        <v>0.189966739</v>
      </c>
      <c r="T83" s="69">
        <f t="shared" si="146"/>
        <v>0.1944341195</v>
      </c>
      <c r="U83" s="70">
        <f t="shared" si="147"/>
        <v>0.2442914214</v>
      </c>
      <c r="V83" s="1"/>
      <c r="W83" s="68">
        <f t="shared" ref="W83:AA83" si="160">+(F83-E83)/E83</f>
        <v>-0.2694939279</v>
      </c>
      <c r="X83" s="69">
        <f t="shared" si="160"/>
        <v>0.09533220922</v>
      </c>
      <c r="Y83" s="69">
        <f t="shared" si="160"/>
        <v>-0.178059724</v>
      </c>
      <c r="Z83" s="69">
        <f t="shared" si="160"/>
        <v>-0.02865302795</v>
      </c>
      <c r="AA83" s="70">
        <f t="shared" si="160"/>
        <v>0.2334077532</v>
      </c>
      <c r="AB83" s="1"/>
      <c r="AC83" s="1"/>
      <c r="AD83" s="68">
        <f t="shared" si="49"/>
        <v>-0.04654938525</v>
      </c>
      <c r="AE83" s="70">
        <f t="shared" si="112"/>
        <v>0.3811008847</v>
      </c>
      <c r="AF83" s="1"/>
      <c r="AG83" s="1"/>
    </row>
    <row r="84" ht="15.75" customHeight="1">
      <c r="A84" s="23"/>
      <c r="B84" s="1"/>
      <c r="C84" s="23"/>
      <c r="D84" s="2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68"/>
      <c r="R84" s="69"/>
      <c r="S84" s="69"/>
      <c r="T84" s="69"/>
      <c r="U84" s="70"/>
      <c r="V84" s="1"/>
      <c r="W84" s="68"/>
      <c r="X84" s="69"/>
      <c r="Y84" s="69"/>
      <c r="Z84" s="69"/>
      <c r="AA84" s="70"/>
      <c r="AB84" s="1"/>
      <c r="AC84" s="1"/>
      <c r="AD84" s="68" t="str">
        <f t="shared" si="49"/>
        <v/>
      </c>
      <c r="AE84" s="70" t="str">
        <f t="shared" si="112"/>
        <v/>
      </c>
      <c r="AF84" s="1"/>
      <c r="AG84" s="1"/>
    </row>
    <row r="85" ht="15.75" customHeight="1">
      <c r="A85" s="109"/>
      <c r="B85" s="72" t="s">
        <v>106</v>
      </c>
      <c r="C85" s="89" t="s">
        <v>36</v>
      </c>
      <c r="D85" s="89"/>
      <c r="E85" s="74">
        <f t="shared" ref="E85:O85" si="161">E74+E83</f>
        <v>2160.601</v>
      </c>
      <c r="F85" s="74">
        <f t="shared" si="161"/>
        <v>2072.942</v>
      </c>
      <c r="G85" s="74">
        <f t="shared" si="161"/>
        <v>2165.513</v>
      </c>
      <c r="H85" s="74">
        <f t="shared" si="161"/>
        <v>1975.988</v>
      </c>
      <c r="I85" s="74">
        <f t="shared" si="161"/>
        <v>1875.15</v>
      </c>
      <c r="J85" s="74">
        <f t="shared" si="161"/>
        <v>1840.851</v>
      </c>
      <c r="K85" s="74">
        <f t="shared" si="161"/>
        <v>1954.432224</v>
      </c>
      <c r="L85" s="74">
        <f t="shared" si="161"/>
        <v>2202.262471</v>
      </c>
      <c r="M85" s="74">
        <f t="shared" si="161"/>
        <v>2488.532401</v>
      </c>
      <c r="N85" s="74">
        <f t="shared" si="161"/>
        <v>2987.792609</v>
      </c>
      <c r="O85" s="74">
        <f t="shared" si="161"/>
        <v>3045.067015</v>
      </c>
      <c r="P85" s="26"/>
      <c r="Q85" s="110">
        <f>+F85/$F$53</f>
        <v>1</v>
      </c>
      <c r="R85" s="111">
        <f>+G85/$G$53</f>
        <v>0.9999076517</v>
      </c>
      <c r="S85" s="111">
        <f>+H85/$H$53</f>
        <v>1.00005061</v>
      </c>
      <c r="T85" s="111">
        <f>+I85/$I$53</f>
        <v>0.9999866679</v>
      </c>
      <c r="U85" s="112">
        <f>+J85/$J$53</f>
        <v>1.000013581</v>
      </c>
      <c r="V85" s="26"/>
      <c r="W85" s="110">
        <f t="shared" ref="W85:AA85" si="162">+(F85-E85)/E85</f>
        <v>-0.0405715817</v>
      </c>
      <c r="X85" s="111">
        <f t="shared" si="162"/>
        <v>0.04465682108</v>
      </c>
      <c r="Y85" s="111">
        <f t="shared" si="162"/>
        <v>-0.08751967779</v>
      </c>
      <c r="Z85" s="111">
        <f t="shared" si="162"/>
        <v>-0.05103168643</v>
      </c>
      <c r="AA85" s="112">
        <f t="shared" si="162"/>
        <v>-0.01829133669</v>
      </c>
      <c r="AB85" s="26"/>
      <c r="AC85" s="26"/>
      <c r="AD85" s="110">
        <f t="shared" si="49"/>
        <v>-0.03152411116</v>
      </c>
      <c r="AE85" s="112">
        <f t="shared" si="112"/>
        <v>0.1058994534</v>
      </c>
      <c r="AF85" s="26"/>
      <c r="AG85" s="26"/>
    </row>
    <row r="86" ht="15.75" customHeight="1">
      <c r="A86" s="23"/>
      <c r="B86" s="1"/>
      <c r="C86" s="23"/>
      <c r="D86" s="23"/>
      <c r="E86" s="1"/>
      <c r="F86" s="71"/>
      <c r="G86" s="1"/>
      <c r="H86" s="1"/>
      <c r="I86" s="1"/>
      <c r="J86" s="1"/>
      <c r="K86" s="1"/>
      <c r="L86" s="1"/>
      <c r="M86" s="1"/>
      <c r="N86" s="1"/>
      <c r="O86" s="1"/>
      <c r="P86" s="1"/>
      <c r="Q86" s="11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5.75" customHeight="1">
      <c r="A87" s="23" t="s">
        <v>33</v>
      </c>
      <c r="B87" s="57" t="s">
        <v>107</v>
      </c>
      <c r="C87" s="58"/>
      <c r="D87" s="58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9"/>
      <c r="Q87" s="59"/>
      <c r="R87" s="59"/>
      <c r="S87" s="59"/>
      <c r="T87" s="59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5.75" customHeight="1">
      <c r="A88" s="23"/>
      <c r="B88" s="1"/>
      <c r="C88" s="23"/>
      <c r="D88" s="2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5.75" customHeight="1">
      <c r="A89" s="23"/>
      <c r="B89" s="36" t="s">
        <v>55</v>
      </c>
      <c r="C89" s="23" t="s">
        <v>36</v>
      </c>
      <c r="D89" s="23"/>
      <c r="E89" s="114">
        <f t="shared" ref="E89:O89" si="163">E29</f>
        <v>-70.328</v>
      </c>
      <c r="F89" s="114">
        <f t="shared" si="163"/>
        <v>-150.442</v>
      </c>
      <c r="G89" s="114">
        <f t="shared" si="163"/>
        <v>39.874</v>
      </c>
      <c r="H89" s="114">
        <f t="shared" si="163"/>
        <v>-81.682</v>
      </c>
      <c r="I89" s="114">
        <f t="shared" si="163"/>
        <v>-9.983</v>
      </c>
      <c r="J89" s="114">
        <f t="shared" si="163"/>
        <v>137.133</v>
      </c>
      <c r="K89" s="115">
        <f t="shared" si="163"/>
        <v>289.8128609</v>
      </c>
      <c r="L89" s="115">
        <f t="shared" si="163"/>
        <v>329.8778498</v>
      </c>
      <c r="M89" s="115">
        <f t="shared" si="163"/>
        <v>380.458999</v>
      </c>
      <c r="N89" s="115">
        <f t="shared" si="163"/>
        <v>397.6941061</v>
      </c>
      <c r="O89" s="115">
        <f t="shared" si="163"/>
        <v>412.1435516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5.0" customHeight="1">
      <c r="A90" s="23"/>
      <c r="B90" s="36" t="s">
        <v>48</v>
      </c>
      <c r="C90" s="23" t="s">
        <v>36</v>
      </c>
      <c r="D90" s="23"/>
      <c r="E90" s="27">
        <f t="shared" ref="E90:O90" si="164">E20</f>
        <v>201.34</v>
      </c>
      <c r="F90" s="27">
        <f t="shared" si="164"/>
        <v>165.496</v>
      </c>
      <c r="G90" s="27">
        <f t="shared" si="164"/>
        <v>224.794</v>
      </c>
      <c r="H90" s="27">
        <f t="shared" si="164"/>
        <v>194.238</v>
      </c>
      <c r="I90" s="27">
        <f t="shared" si="164"/>
        <v>207.115</v>
      </c>
      <c r="J90" s="27">
        <f t="shared" si="164"/>
        <v>194.964</v>
      </c>
      <c r="K90" s="116">
        <f t="shared" si="164"/>
        <v>70.81064696</v>
      </c>
      <c r="L90" s="116">
        <f t="shared" si="164"/>
        <v>73.11945135</v>
      </c>
      <c r="M90" s="116">
        <f t="shared" si="164"/>
        <v>82.14670329</v>
      </c>
      <c r="N90" s="116">
        <f t="shared" si="164"/>
        <v>84.33760291</v>
      </c>
      <c r="O90" s="116">
        <f t="shared" si="164"/>
        <v>86.19128854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5.0" customHeight="1">
      <c r="A91" s="23"/>
      <c r="B91" s="117" t="s">
        <v>108</v>
      </c>
      <c r="C91" s="118" t="s">
        <v>36</v>
      </c>
      <c r="D91" s="118"/>
      <c r="E91" s="119">
        <f t="shared" ref="E91:O91" si="165">SUM(E89:E90)</f>
        <v>131.012</v>
      </c>
      <c r="F91" s="119">
        <f t="shared" si="165"/>
        <v>15.054</v>
      </c>
      <c r="G91" s="119">
        <f t="shared" si="165"/>
        <v>264.668</v>
      </c>
      <c r="H91" s="119">
        <f t="shared" si="165"/>
        <v>112.556</v>
      </c>
      <c r="I91" s="119">
        <f t="shared" si="165"/>
        <v>197.132</v>
      </c>
      <c r="J91" s="119">
        <f t="shared" si="165"/>
        <v>332.097</v>
      </c>
      <c r="K91" s="120">
        <f t="shared" si="165"/>
        <v>360.6235078</v>
      </c>
      <c r="L91" s="120">
        <f t="shared" si="165"/>
        <v>402.9973011</v>
      </c>
      <c r="M91" s="120">
        <f t="shared" si="165"/>
        <v>462.6057023</v>
      </c>
      <c r="N91" s="120">
        <f t="shared" si="165"/>
        <v>482.031709</v>
      </c>
      <c r="O91" s="120">
        <f t="shared" si="165"/>
        <v>498.3348402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5.75" customHeight="1">
      <c r="A92" s="23"/>
      <c r="B92" s="1"/>
      <c r="C92" s="23"/>
      <c r="D92" s="23"/>
      <c r="E92" s="36"/>
      <c r="F92" s="36"/>
      <c r="G92" s="3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5.75" customHeight="1">
      <c r="A93" s="23"/>
      <c r="B93" s="121" t="s">
        <v>109</v>
      </c>
      <c r="C93" s="122" t="s">
        <v>36</v>
      </c>
      <c r="D93" s="122"/>
      <c r="E93" s="123">
        <f t="shared" ref="E93:O93" si="166">SUM(E94:E96)</f>
        <v>105.307</v>
      </c>
      <c r="F93" s="123">
        <f t="shared" si="166"/>
        <v>27.591</v>
      </c>
      <c r="G93" s="123">
        <f t="shared" si="166"/>
        <v>-6.835</v>
      </c>
      <c r="H93" s="123">
        <f t="shared" si="166"/>
        <v>39.497</v>
      </c>
      <c r="I93" s="123">
        <f t="shared" si="166"/>
        <v>8.032</v>
      </c>
      <c r="J93" s="123">
        <f t="shared" si="166"/>
        <v>-55.428</v>
      </c>
      <c r="K93" s="124">
        <f t="shared" si="166"/>
        <v>20.64639851</v>
      </c>
      <c r="L93" s="124">
        <f t="shared" si="166"/>
        <v>21.5745895</v>
      </c>
      <c r="M93" s="124">
        <f t="shared" si="166"/>
        <v>17.64144053</v>
      </c>
      <c r="N93" s="124">
        <f t="shared" si="166"/>
        <v>229.1741</v>
      </c>
      <c r="O93" s="124">
        <f t="shared" si="166"/>
        <v>-223.3795156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5.75" customHeight="1">
      <c r="A94" s="23"/>
      <c r="B94" s="36" t="str">
        <f>B37</f>
        <v>Cuentas por cobrar comerciales, neto</v>
      </c>
      <c r="C94" s="91" t="s">
        <v>36</v>
      </c>
      <c r="D94" s="23"/>
      <c r="E94" s="114">
        <f t="shared" ref="E94:O94" si="167">-(E37-D37)</f>
        <v>-36.159</v>
      </c>
      <c r="F94" s="114">
        <f t="shared" si="167"/>
        <v>7.378</v>
      </c>
      <c r="G94" s="114">
        <f t="shared" si="167"/>
        <v>-15.025</v>
      </c>
      <c r="H94" s="114">
        <f t="shared" si="167"/>
        <v>15.22</v>
      </c>
      <c r="I94" s="114">
        <f t="shared" si="167"/>
        <v>8.27</v>
      </c>
      <c r="J94" s="114">
        <f t="shared" si="167"/>
        <v>-13.161</v>
      </c>
      <c r="K94" s="115">
        <f t="shared" si="167"/>
        <v>6.451536298</v>
      </c>
      <c r="L94" s="115">
        <f t="shared" si="167"/>
        <v>-4.200429448</v>
      </c>
      <c r="M94" s="115">
        <f t="shared" si="167"/>
        <v>-3.434671435</v>
      </c>
      <c r="N94" s="115">
        <f t="shared" si="167"/>
        <v>0</v>
      </c>
      <c r="O94" s="115">
        <f t="shared" si="167"/>
        <v>-1.12816713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5.75" customHeight="1">
      <c r="A95" s="23"/>
      <c r="B95" s="36" t="str">
        <f>B40</f>
        <v>Inventarios, neto</v>
      </c>
      <c r="C95" s="23" t="s">
        <v>36</v>
      </c>
      <c r="D95" s="23"/>
      <c r="E95" s="114">
        <f t="shared" ref="E95:O95" si="168">-(E40-D40)</f>
        <v>-36.709</v>
      </c>
      <c r="F95" s="114">
        <f t="shared" si="168"/>
        <v>-24.252</v>
      </c>
      <c r="G95" s="114">
        <f t="shared" si="168"/>
        <v>1.137</v>
      </c>
      <c r="H95" s="114">
        <f t="shared" si="168"/>
        <v>2.731</v>
      </c>
      <c r="I95" s="114">
        <f t="shared" si="168"/>
        <v>8.788</v>
      </c>
      <c r="J95" s="114">
        <f t="shared" si="168"/>
        <v>10.235</v>
      </c>
      <c r="K95" s="115">
        <f t="shared" si="168"/>
        <v>-9.381933068</v>
      </c>
      <c r="L95" s="115">
        <f t="shared" si="168"/>
        <v>-7.375210994</v>
      </c>
      <c r="M95" s="115">
        <f t="shared" si="168"/>
        <v>-6.030675397</v>
      </c>
      <c r="N95" s="115">
        <f t="shared" si="168"/>
        <v>0</v>
      </c>
      <c r="O95" s="115">
        <f t="shared" si="168"/>
        <v>-1.980861891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5.75" customHeight="1">
      <c r="A96" s="23"/>
      <c r="B96" s="36" t="str">
        <f>B59</f>
        <v>Cuentas por pagar comerciales</v>
      </c>
      <c r="C96" s="23" t="s">
        <v>36</v>
      </c>
      <c r="D96" s="23"/>
      <c r="E96" s="114">
        <f t="shared" ref="E96:O96" si="169">(E59-D59)</f>
        <v>178.175</v>
      </c>
      <c r="F96" s="114">
        <f t="shared" si="169"/>
        <v>44.465</v>
      </c>
      <c r="G96" s="114">
        <f t="shared" si="169"/>
        <v>7.053</v>
      </c>
      <c r="H96" s="114">
        <f t="shared" si="169"/>
        <v>21.546</v>
      </c>
      <c r="I96" s="114">
        <f t="shared" si="169"/>
        <v>-9.026</v>
      </c>
      <c r="J96" s="114">
        <f t="shared" si="169"/>
        <v>-52.502</v>
      </c>
      <c r="K96" s="115">
        <f t="shared" si="169"/>
        <v>23.57679528</v>
      </c>
      <c r="L96" s="115">
        <f t="shared" si="169"/>
        <v>33.15022995</v>
      </c>
      <c r="M96" s="115">
        <f t="shared" si="169"/>
        <v>27.10678736</v>
      </c>
      <c r="N96" s="115">
        <f t="shared" si="169"/>
        <v>229.1741</v>
      </c>
      <c r="O96" s="115">
        <f t="shared" si="169"/>
        <v>-220.2704866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5.75" customHeight="1">
      <c r="A97" s="23"/>
      <c r="B97" s="1"/>
      <c r="C97" s="23"/>
      <c r="D97" s="23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5.75" customHeight="1">
      <c r="A98" s="23"/>
      <c r="B98" s="121" t="s">
        <v>110</v>
      </c>
      <c r="C98" s="122" t="s">
        <v>36</v>
      </c>
      <c r="D98" s="122"/>
      <c r="E98" s="123">
        <f t="shared" ref="E98:H98" si="170">SUM(E100:E102,E104:E106,E108:E112,E114:E116)</f>
        <v>207.7</v>
      </c>
      <c r="F98" s="123">
        <f t="shared" si="170"/>
        <v>189.295</v>
      </c>
      <c r="G98" s="123">
        <f t="shared" si="170"/>
        <v>61.26</v>
      </c>
      <c r="H98" s="123">
        <f t="shared" si="170"/>
        <v>-37.581</v>
      </c>
      <c r="I98" s="123">
        <f t="shared" ref="I98:O98" si="171">SUM(I100:I102,I104:I106,I108:I112,I114:I117)</f>
        <v>-93.412</v>
      </c>
      <c r="J98" s="123">
        <f t="shared" si="171"/>
        <v>3.37</v>
      </c>
      <c r="K98" s="124">
        <f t="shared" si="171"/>
        <v>-23.49810019</v>
      </c>
      <c r="L98" s="124">
        <f t="shared" si="171"/>
        <v>0.3742346104</v>
      </c>
      <c r="M98" s="124">
        <f t="shared" si="171"/>
        <v>-4.456387874</v>
      </c>
      <c r="N98" s="124">
        <f t="shared" si="171"/>
        <v>-0.7517337349</v>
      </c>
      <c r="O98" s="124">
        <f t="shared" si="171"/>
        <v>2.590490589</v>
      </c>
      <c r="P98" s="125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5.75" customHeight="1">
      <c r="A99" s="23"/>
      <c r="B99" s="26" t="s">
        <v>59</v>
      </c>
      <c r="C99" s="23"/>
      <c r="D99" s="23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5.75" customHeight="1">
      <c r="A100" s="23"/>
      <c r="B100" s="36" t="str">
        <f t="shared" ref="B100:B101" si="173">B38</f>
        <v>Otras cuentas por cobrar, neto</v>
      </c>
      <c r="C100" s="23" t="s">
        <v>36</v>
      </c>
      <c r="D100" s="23"/>
      <c r="E100" s="114">
        <f t="shared" ref="E100:O100" si="172">-(E38-D38)</f>
        <v>-65.344</v>
      </c>
      <c r="F100" s="114">
        <f t="shared" si="172"/>
        <v>-24.186</v>
      </c>
      <c r="G100" s="114">
        <f t="shared" si="172"/>
        <v>33.559</v>
      </c>
      <c r="H100" s="114">
        <f t="shared" si="172"/>
        <v>-9.418</v>
      </c>
      <c r="I100" s="114">
        <f t="shared" si="172"/>
        <v>-11.649</v>
      </c>
      <c r="J100" s="114">
        <f t="shared" si="172"/>
        <v>9.614</v>
      </c>
      <c r="K100" s="115">
        <f t="shared" si="172"/>
        <v>67.24663202</v>
      </c>
      <c r="L100" s="115">
        <f t="shared" si="172"/>
        <v>-0.02756739742</v>
      </c>
      <c r="M100" s="115">
        <f t="shared" si="172"/>
        <v>-0.02254173142</v>
      </c>
      <c r="N100" s="115">
        <f t="shared" si="172"/>
        <v>0</v>
      </c>
      <c r="O100" s="115">
        <f t="shared" si="172"/>
        <v>-0.007404155219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5.75" customHeight="1">
      <c r="A101" s="23"/>
      <c r="B101" s="36" t="str">
        <f t="shared" si="173"/>
        <v>Otros activos financieros</v>
      </c>
      <c r="C101" s="23" t="s">
        <v>36</v>
      </c>
      <c r="D101" s="23"/>
      <c r="E101" s="114">
        <f t="shared" ref="E101:O101" si="174">-(E39-D39)</f>
        <v>-5.416</v>
      </c>
      <c r="F101" s="114">
        <f t="shared" si="174"/>
        <v>5.193</v>
      </c>
      <c r="G101" s="114">
        <f t="shared" si="174"/>
        <v>0.223</v>
      </c>
      <c r="H101" s="114">
        <f t="shared" si="174"/>
        <v>0</v>
      </c>
      <c r="I101" s="114">
        <f t="shared" si="174"/>
        <v>-0.655</v>
      </c>
      <c r="J101" s="114">
        <f t="shared" si="174"/>
        <v>-0.293</v>
      </c>
      <c r="K101" s="115">
        <f t="shared" si="174"/>
        <v>0.9458160004</v>
      </c>
      <c r="L101" s="115">
        <f t="shared" si="174"/>
        <v>-0.0003394478807</v>
      </c>
      <c r="M101" s="115">
        <f t="shared" si="174"/>
        <v>-0.000277564938</v>
      </c>
      <c r="N101" s="115">
        <f t="shared" si="174"/>
        <v>0</v>
      </c>
      <c r="O101" s="115">
        <f t="shared" si="174"/>
        <v>-0.00009117018769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5.75" customHeight="1">
      <c r="A102" s="23"/>
      <c r="B102" s="36" t="str">
        <f>B41</f>
        <v>Activos clasificados como mantenidos para la venta</v>
      </c>
      <c r="C102" s="23" t="s">
        <v>36</v>
      </c>
      <c r="D102" s="23"/>
      <c r="E102" s="114">
        <f t="shared" ref="E102:O102" si="175">-(E41-D41)</f>
        <v>-301.986</v>
      </c>
      <c r="F102" s="114">
        <f t="shared" si="175"/>
        <v>301.986</v>
      </c>
      <c r="G102" s="114">
        <f t="shared" si="175"/>
        <v>0</v>
      </c>
      <c r="H102" s="114">
        <f t="shared" si="175"/>
        <v>0</v>
      </c>
      <c r="I102" s="114">
        <f t="shared" si="175"/>
        <v>0</v>
      </c>
      <c r="J102" s="114">
        <f t="shared" si="175"/>
        <v>0</v>
      </c>
      <c r="K102" s="115">
        <f t="shared" si="175"/>
        <v>0</v>
      </c>
      <c r="L102" s="115">
        <f t="shared" si="175"/>
        <v>0</v>
      </c>
      <c r="M102" s="115">
        <f t="shared" si="175"/>
        <v>0</v>
      </c>
      <c r="N102" s="115">
        <f t="shared" si="175"/>
        <v>0</v>
      </c>
      <c r="O102" s="115">
        <f t="shared" si="175"/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5.75" customHeight="1">
      <c r="A103" s="23"/>
      <c r="B103" s="26" t="s">
        <v>69</v>
      </c>
      <c r="C103" s="23"/>
      <c r="D103" s="23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5.75" customHeight="1">
      <c r="A104" s="23"/>
      <c r="B104" s="36" t="str">
        <f t="shared" ref="B104:B105" si="177">B46</f>
        <v>Inventarios(neto)</v>
      </c>
      <c r="C104" s="23" t="s">
        <v>36</v>
      </c>
      <c r="D104" s="23"/>
      <c r="E104" s="28">
        <f t="shared" ref="E104:O104" si="176">-(E46-D46)</f>
        <v>0</v>
      </c>
      <c r="F104" s="28">
        <f t="shared" si="176"/>
        <v>-7.077</v>
      </c>
      <c r="G104" s="28">
        <f t="shared" si="176"/>
        <v>0.435</v>
      </c>
      <c r="H104" s="28">
        <f t="shared" si="176"/>
        <v>0.424</v>
      </c>
      <c r="I104" s="28">
        <f t="shared" si="176"/>
        <v>0.599</v>
      </c>
      <c r="J104" s="28">
        <f t="shared" si="176"/>
        <v>0.439</v>
      </c>
      <c r="K104" s="115">
        <f t="shared" si="176"/>
        <v>0</v>
      </c>
      <c r="L104" s="115">
        <f t="shared" si="176"/>
        <v>0</v>
      </c>
      <c r="M104" s="115">
        <f t="shared" si="176"/>
        <v>0</v>
      </c>
      <c r="N104" s="115">
        <f t="shared" si="176"/>
        <v>0</v>
      </c>
      <c r="O104" s="115">
        <f t="shared" si="176"/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5.75" customHeight="1">
      <c r="A105" s="23"/>
      <c r="B105" s="36" t="str">
        <f t="shared" si="177"/>
        <v>Otras cuentas por cobrar a largo plazo, neto</v>
      </c>
      <c r="C105" s="23" t="s">
        <v>36</v>
      </c>
      <c r="D105" s="23"/>
      <c r="E105" s="28">
        <f t="shared" ref="E105:O105" si="178">-(E47-D47)</f>
        <v>-7.99</v>
      </c>
      <c r="F105" s="28">
        <f t="shared" si="178"/>
        <v>-1.487</v>
      </c>
      <c r="G105" s="28">
        <f t="shared" si="178"/>
        <v>-7.968</v>
      </c>
      <c r="H105" s="28">
        <f t="shared" si="178"/>
        <v>-16.817</v>
      </c>
      <c r="I105" s="28">
        <f t="shared" si="178"/>
        <v>-1.708</v>
      </c>
      <c r="J105" s="28">
        <f t="shared" si="178"/>
        <v>4.136</v>
      </c>
      <c r="K105" s="115">
        <f t="shared" si="178"/>
        <v>0</v>
      </c>
      <c r="L105" s="115">
        <f t="shared" si="178"/>
        <v>0</v>
      </c>
      <c r="M105" s="115">
        <f t="shared" si="178"/>
        <v>0</v>
      </c>
      <c r="N105" s="115">
        <f t="shared" si="178"/>
        <v>0</v>
      </c>
      <c r="O105" s="115">
        <f t="shared" si="178"/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5.75" customHeight="1">
      <c r="A106" s="23"/>
      <c r="B106" s="36" t="str">
        <f>B49</f>
        <v>Derecho de uso, neto</v>
      </c>
      <c r="C106" s="23" t="s">
        <v>36</v>
      </c>
      <c r="D106" s="23"/>
      <c r="E106" s="114">
        <f t="shared" ref="E106:O106" si="179">-(E49-D49)</f>
        <v>-22.463</v>
      </c>
      <c r="F106" s="114">
        <f t="shared" si="179"/>
        <v>18.178</v>
      </c>
      <c r="G106" s="114">
        <f t="shared" si="179"/>
        <v>-0.1</v>
      </c>
      <c r="H106" s="114">
        <f t="shared" si="179"/>
        <v>-7</v>
      </c>
      <c r="I106" s="114">
        <f t="shared" si="179"/>
        <v>-6.541</v>
      </c>
      <c r="J106" s="114">
        <f t="shared" si="179"/>
        <v>2.263</v>
      </c>
      <c r="K106" s="115">
        <f t="shared" si="179"/>
        <v>-1.308542427</v>
      </c>
      <c r="L106" s="115">
        <f t="shared" si="179"/>
        <v>0.3848901926</v>
      </c>
      <c r="M106" s="115">
        <f t="shared" si="179"/>
        <v>-4.447674854</v>
      </c>
      <c r="N106" s="115">
        <f t="shared" si="179"/>
        <v>-0.8709951306</v>
      </c>
      <c r="O106" s="115">
        <f t="shared" si="179"/>
        <v>2.712613901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5.75" customHeight="1">
      <c r="A107" s="23"/>
      <c r="B107" s="26" t="s">
        <v>80</v>
      </c>
      <c r="C107" s="23"/>
      <c r="D107" s="23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5.75" customHeight="1">
      <c r="A108" s="23"/>
      <c r="B108" s="78" t="str">
        <f>B58</f>
        <v>Sobregiros bancarios</v>
      </c>
      <c r="C108" s="23" t="s">
        <v>36</v>
      </c>
      <c r="E108" s="126">
        <f t="shared" ref="E108:O108" si="180">+(E58-D58)</f>
        <v>8.448</v>
      </c>
      <c r="F108" s="126">
        <f t="shared" si="180"/>
        <v>1.622</v>
      </c>
      <c r="G108" s="126">
        <f t="shared" si="180"/>
        <v>-8.902</v>
      </c>
      <c r="H108" s="126">
        <f t="shared" si="180"/>
        <v>-0.97</v>
      </c>
      <c r="I108" s="126">
        <f t="shared" si="180"/>
        <v>0.848</v>
      </c>
      <c r="J108" s="126">
        <f t="shared" si="180"/>
        <v>-1.046</v>
      </c>
      <c r="K108" s="127">
        <f t="shared" si="180"/>
        <v>0.0006382402163</v>
      </c>
      <c r="L108" s="127">
        <f t="shared" si="180"/>
        <v>0.00009919840892</v>
      </c>
      <c r="M108" s="127">
        <f t="shared" si="180"/>
        <v>0.00008111407316</v>
      </c>
      <c r="N108" s="127">
        <f t="shared" si="180"/>
        <v>0.000685778232</v>
      </c>
      <c r="O108" s="127">
        <f t="shared" si="180"/>
        <v>-0.0006591351504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5.75" customHeight="1">
      <c r="A109" s="23"/>
      <c r="B109" s="36" t="str">
        <f t="shared" ref="B109:B110" si="182">B60</f>
        <v>Otros pasivos financieros</v>
      </c>
      <c r="C109" s="23" t="s">
        <v>36</v>
      </c>
      <c r="D109" s="23"/>
      <c r="E109" s="126">
        <f t="shared" ref="E109:O109" si="181">+(E60-D60)</f>
        <v>53.407</v>
      </c>
      <c r="F109" s="126">
        <f t="shared" si="181"/>
        <v>-38.3</v>
      </c>
      <c r="G109" s="126">
        <f t="shared" si="181"/>
        <v>-12.866</v>
      </c>
      <c r="H109" s="126">
        <f t="shared" si="181"/>
        <v>-2.241</v>
      </c>
      <c r="I109" s="126">
        <f t="shared" si="181"/>
        <v>0</v>
      </c>
      <c r="J109" s="126">
        <f t="shared" si="181"/>
        <v>0</v>
      </c>
      <c r="K109" s="115">
        <f t="shared" si="181"/>
        <v>0</v>
      </c>
      <c r="L109" s="127">
        <f t="shared" si="181"/>
        <v>0</v>
      </c>
      <c r="M109" s="127">
        <f t="shared" si="181"/>
        <v>0</v>
      </c>
      <c r="N109" s="127">
        <f t="shared" si="181"/>
        <v>0</v>
      </c>
      <c r="O109" s="127">
        <f t="shared" si="181"/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5.75" customHeight="1">
      <c r="A110" s="23"/>
      <c r="B110" s="36" t="str">
        <f t="shared" si="182"/>
        <v>Otras cuentas por pagar</v>
      </c>
      <c r="C110" s="23" t="s">
        <v>36</v>
      </c>
      <c r="D110" s="23"/>
      <c r="E110" s="126">
        <f t="shared" ref="E110:O110" si="183">+(E61-D61)</f>
        <v>55.482</v>
      </c>
      <c r="F110" s="126">
        <f t="shared" si="183"/>
        <v>10.401</v>
      </c>
      <c r="G110" s="126">
        <f t="shared" si="183"/>
        <v>4.805</v>
      </c>
      <c r="H110" s="126">
        <f t="shared" si="183"/>
        <v>4.181</v>
      </c>
      <c r="I110" s="126">
        <f t="shared" si="183"/>
        <v>-14.374</v>
      </c>
      <c r="J110" s="126">
        <f t="shared" si="183"/>
        <v>29.396</v>
      </c>
      <c r="K110" s="127">
        <f t="shared" si="183"/>
        <v>-89.78064402</v>
      </c>
      <c r="L110" s="127">
        <f t="shared" si="183"/>
        <v>0.01715206467</v>
      </c>
      <c r="M110" s="127">
        <f t="shared" si="183"/>
        <v>0.01402516274</v>
      </c>
      <c r="N110" s="127">
        <f t="shared" si="183"/>
        <v>0.1185756174</v>
      </c>
      <c r="O110" s="127">
        <f t="shared" si="183"/>
        <v>-0.1139688514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5.75" customHeight="1">
      <c r="A111" s="23"/>
      <c r="B111" s="36" t="s">
        <v>88</v>
      </c>
      <c r="C111" s="23" t="s">
        <v>36</v>
      </c>
      <c r="D111" s="23"/>
      <c r="E111" s="126">
        <f t="shared" ref="E111:O111" si="184">+(E63-D63)</f>
        <v>0</v>
      </c>
      <c r="F111" s="126">
        <f t="shared" si="184"/>
        <v>0</v>
      </c>
      <c r="G111" s="126">
        <f t="shared" si="184"/>
        <v>0</v>
      </c>
      <c r="H111" s="126">
        <f t="shared" si="184"/>
        <v>0</v>
      </c>
      <c r="I111" s="126">
        <f t="shared" si="184"/>
        <v>0.021</v>
      </c>
      <c r="J111" s="126">
        <f t="shared" si="184"/>
        <v>0</v>
      </c>
      <c r="K111" s="127">
        <f t="shared" si="184"/>
        <v>0</v>
      </c>
      <c r="L111" s="127">
        <f t="shared" si="184"/>
        <v>0</v>
      </c>
      <c r="M111" s="127">
        <f t="shared" si="184"/>
        <v>0</v>
      </c>
      <c r="N111" s="127">
        <f t="shared" si="184"/>
        <v>0</v>
      </c>
      <c r="O111" s="127">
        <f t="shared" si="184"/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5.75" customHeight="1">
      <c r="A112" s="23"/>
      <c r="B112" s="36" t="str">
        <f>B62</f>
        <v>Pasivos asociados directamente con activos clasificados como mantenidos para la venta</v>
      </c>
      <c r="C112" s="23" t="s">
        <v>36</v>
      </c>
      <c r="D112" s="23"/>
      <c r="E112" s="126">
        <f t="shared" ref="E112:O112" si="185">+(E62-D62)</f>
        <v>171.484</v>
      </c>
      <c r="F112" s="126">
        <f t="shared" si="185"/>
        <v>-171.484</v>
      </c>
      <c r="G112" s="126">
        <f t="shared" si="185"/>
        <v>0</v>
      </c>
      <c r="H112" s="126">
        <f t="shared" si="185"/>
        <v>0</v>
      </c>
      <c r="I112" s="126">
        <f t="shared" si="185"/>
        <v>0</v>
      </c>
      <c r="J112" s="126">
        <f t="shared" si="185"/>
        <v>0</v>
      </c>
      <c r="K112" s="127">
        <f t="shared" si="185"/>
        <v>0</v>
      </c>
      <c r="L112" s="127">
        <f t="shared" si="185"/>
        <v>0</v>
      </c>
      <c r="M112" s="127">
        <f t="shared" si="185"/>
        <v>0</v>
      </c>
      <c r="N112" s="127">
        <f t="shared" si="185"/>
        <v>0</v>
      </c>
      <c r="O112" s="127">
        <f t="shared" si="185"/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5.75" customHeight="1">
      <c r="A113" s="23"/>
      <c r="B113" s="26" t="s">
        <v>90</v>
      </c>
      <c r="C113" s="23"/>
      <c r="D113" s="23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5.75" customHeight="1">
      <c r="A114" s="23"/>
      <c r="B114" s="36" t="str">
        <f t="shared" ref="B114:B116" si="187">B68</f>
        <v>Otras cuentas por pagar</v>
      </c>
      <c r="C114" s="23" t="s">
        <v>36</v>
      </c>
      <c r="D114" s="23"/>
      <c r="E114" s="114">
        <f t="shared" ref="E114:O114" si="186">+(E68-D68)</f>
        <v>0</v>
      </c>
      <c r="F114" s="114">
        <f t="shared" si="186"/>
        <v>0</v>
      </c>
      <c r="G114" s="114">
        <f t="shared" si="186"/>
        <v>6.4</v>
      </c>
      <c r="H114" s="114">
        <f t="shared" si="186"/>
        <v>-3.2</v>
      </c>
      <c r="I114" s="114">
        <f t="shared" si="186"/>
        <v>-3.2</v>
      </c>
      <c r="J114" s="114">
        <f t="shared" si="186"/>
        <v>0</v>
      </c>
      <c r="K114" s="115">
        <f t="shared" si="186"/>
        <v>0</v>
      </c>
      <c r="L114" s="115">
        <f t="shared" si="186"/>
        <v>0</v>
      </c>
      <c r="M114" s="115">
        <f t="shared" si="186"/>
        <v>0</v>
      </c>
      <c r="N114" s="115">
        <f t="shared" si="186"/>
        <v>0</v>
      </c>
      <c r="O114" s="115">
        <f t="shared" si="186"/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5.75" customHeight="1">
      <c r="A115" s="23"/>
      <c r="B115" s="36" t="str">
        <f t="shared" si="187"/>
        <v>Provisiones</v>
      </c>
      <c r="C115" s="23" t="s">
        <v>36</v>
      </c>
      <c r="D115" s="23"/>
      <c r="E115" s="114">
        <f t="shared" ref="E115:O115" si="188">+(E69-D69)</f>
        <v>179.089</v>
      </c>
      <c r="F115" s="114">
        <f t="shared" si="188"/>
        <v>50.161</v>
      </c>
      <c r="G115" s="114">
        <f t="shared" si="188"/>
        <v>33.12</v>
      </c>
      <c r="H115" s="114">
        <f t="shared" si="188"/>
        <v>61.014</v>
      </c>
      <c r="I115" s="114">
        <f t="shared" si="188"/>
        <v>0.09</v>
      </c>
      <c r="J115" s="114">
        <f t="shared" si="188"/>
        <v>-85.816</v>
      </c>
      <c r="K115" s="115">
        <f t="shared" si="188"/>
        <v>0</v>
      </c>
      <c r="L115" s="115">
        <f t="shared" si="188"/>
        <v>0</v>
      </c>
      <c r="M115" s="115">
        <f t="shared" si="188"/>
        <v>0</v>
      </c>
      <c r="N115" s="115">
        <f t="shared" si="188"/>
        <v>0</v>
      </c>
      <c r="O115" s="115">
        <f t="shared" si="188"/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5.0" customHeight="1">
      <c r="A116" s="23"/>
      <c r="B116" s="36" t="str">
        <f t="shared" si="187"/>
        <v>Pasivo por impuesto a las ganancias diferido</v>
      </c>
      <c r="C116" s="23" t="s">
        <v>36</v>
      </c>
      <c r="D116" s="23"/>
      <c r="E116" s="114">
        <f t="shared" ref="E116:O116" si="189">+(E70-D70)</f>
        <v>142.989</v>
      </c>
      <c r="F116" s="114">
        <f t="shared" si="189"/>
        <v>44.288</v>
      </c>
      <c r="G116" s="114">
        <f t="shared" si="189"/>
        <v>12.554</v>
      </c>
      <c r="H116" s="114">
        <f t="shared" si="189"/>
        <v>-63.554</v>
      </c>
      <c r="I116" s="114">
        <f t="shared" si="189"/>
        <v>-57.42</v>
      </c>
      <c r="J116" s="114">
        <f t="shared" si="189"/>
        <v>44.652</v>
      </c>
      <c r="K116" s="115">
        <f t="shared" si="189"/>
        <v>0</v>
      </c>
      <c r="L116" s="115">
        <f t="shared" si="189"/>
        <v>0</v>
      </c>
      <c r="M116" s="115">
        <f t="shared" si="189"/>
        <v>0</v>
      </c>
      <c r="N116" s="115">
        <f t="shared" si="189"/>
        <v>0</v>
      </c>
      <c r="O116" s="115">
        <f t="shared" si="189"/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5.75" customHeight="1">
      <c r="A117" s="23"/>
      <c r="B117" s="36" t="s">
        <v>88</v>
      </c>
      <c r="C117" s="36"/>
      <c r="D117" s="36"/>
      <c r="E117" s="28">
        <f t="shared" ref="E117:O117" si="190">(E71-D71)</f>
        <v>0</v>
      </c>
      <c r="F117" s="28">
        <f t="shared" si="190"/>
        <v>0</v>
      </c>
      <c r="G117" s="28">
        <f t="shared" si="190"/>
        <v>0</v>
      </c>
      <c r="H117" s="28">
        <f t="shared" si="190"/>
        <v>0</v>
      </c>
      <c r="I117" s="28">
        <f t="shared" si="190"/>
        <v>0.577</v>
      </c>
      <c r="J117" s="28">
        <f t="shared" si="190"/>
        <v>0.025</v>
      </c>
      <c r="K117" s="79">
        <f t="shared" si="190"/>
        <v>-0.602</v>
      </c>
      <c r="L117" s="79">
        <f t="shared" si="190"/>
        <v>0</v>
      </c>
      <c r="M117" s="79">
        <f t="shared" si="190"/>
        <v>0</v>
      </c>
      <c r="N117" s="79">
        <f t="shared" si="190"/>
        <v>0</v>
      </c>
      <c r="O117" s="79">
        <f t="shared" si="190"/>
        <v>0</v>
      </c>
      <c r="P117" s="36"/>
      <c r="Q117" s="36"/>
      <c r="R117" s="36"/>
      <c r="S117" s="36"/>
      <c r="T117" s="36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5.75" customHeight="1">
      <c r="A118" s="23"/>
      <c r="B118" s="72" t="s">
        <v>111</v>
      </c>
      <c r="C118" s="73" t="s">
        <v>36</v>
      </c>
      <c r="D118" s="73"/>
      <c r="E118" s="128">
        <f t="shared" ref="E118:O118" si="191">SUM(E89:E90,E93,E98)</f>
        <v>444.019</v>
      </c>
      <c r="F118" s="128">
        <f t="shared" si="191"/>
        <v>231.94</v>
      </c>
      <c r="G118" s="128">
        <f t="shared" si="191"/>
        <v>319.093</v>
      </c>
      <c r="H118" s="128">
        <f t="shared" si="191"/>
        <v>114.472</v>
      </c>
      <c r="I118" s="128">
        <f t="shared" si="191"/>
        <v>111.752</v>
      </c>
      <c r="J118" s="128">
        <f t="shared" si="191"/>
        <v>280.039</v>
      </c>
      <c r="K118" s="129">
        <f t="shared" si="191"/>
        <v>357.7718061</v>
      </c>
      <c r="L118" s="129">
        <f t="shared" si="191"/>
        <v>424.9461253</v>
      </c>
      <c r="M118" s="129">
        <f t="shared" si="191"/>
        <v>475.7907549</v>
      </c>
      <c r="N118" s="129">
        <f t="shared" si="191"/>
        <v>710.4540752</v>
      </c>
      <c r="O118" s="129">
        <f t="shared" si="191"/>
        <v>277.5458151</v>
      </c>
      <c r="P118" s="36"/>
      <c r="Q118" s="36"/>
      <c r="R118" s="36"/>
      <c r="S118" s="36"/>
      <c r="T118" s="36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5.75" customHeight="1">
      <c r="A119" s="23"/>
      <c r="B119" s="1"/>
      <c r="C119" s="23"/>
      <c r="D119" s="23"/>
      <c r="E119" s="36"/>
      <c r="F119" s="36"/>
      <c r="G119" s="3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5.75" customHeight="1">
      <c r="A120" s="23"/>
      <c r="B120" s="36" t="s">
        <v>112</v>
      </c>
      <c r="C120" s="64" t="s">
        <v>36</v>
      </c>
      <c r="D120" s="64"/>
      <c r="E120" s="114">
        <f t="shared" ref="E120:O120" si="192">-(E45-D45)-(E48-D48)-(E50-D50)-E90</f>
        <v>-1852.046</v>
      </c>
      <c r="F120" s="114">
        <f t="shared" si="192"/>
        <v>-272.752</v>
      </c>
      <c r="G120" s="114">
        <f t="shared" si="192"/>
        <v>-213.285</v>
      </c>
      <c r="H120" s="114">
        <f t="shared" si="192"/>
        <v>-147.14</v>
      </c>
      <c r="I120" s="114">
        <f t="shared" si="192"/>
        <v>-115.464</v>
      </c>
      <c r="J120" s="114">
        <f t="shared" si="192"/>
        <v>-79.656</v>
      </c>
      <c r="K120" s="115">
        <f t="shared" si="192"/>
        <v>-170.6538826</v>
      </c>
      <c r="L120" s="115">
        <f t="shared" si="192"/>
        <v>-195.2797737</v>
      </c>
      <c r="M120" s="115">
        <f t="shared" si="192"/>
        <v>-221.6343439</v>
      </c>
      <c r="N120" s="115">
        <f t="shared" si="192"/>
        <v>-218.0576642</v>
      </c>
      <c r="O120" s="115">
        <f t="shared" si="192"/>
        <v>-221.5432666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5.75" customHeight="1">
      <c r="A121" s="23"/>
      <c r="B121" s="1"/>
      <c r="C121" s="23"/>
      <c r="D121" s="23"/>
      <c r="E121" s="36"/>
      <c r="F121" s="36"/>
      <c r="G121" s="3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5.75" customHeight="1">
      <c r="A122" s="23"/>
      <c r="B122" s="72" t="s">
        <v>113</v>
      </c>
      <c r="C122" s="73" t="s">
        <v>36</v>
      </c>
      <c r="D122" s="73"/>
      <c r="E122" s="128">
        <f t="shared" ref="E122:O122" si="193">E120</f>
        <v>-1852.046</v>
      </c>
      <c r="F122" s="128">
        <f t="shared" si="193"/>
        <v>-272.752</v>
      </c>
      <c r="G122" s="128">
        <f t="shared" si="193"/>
        <v>-213.285</v>
      </c>
      <c r="H122" s="74">
        <f t="shared" si="193"/>
        <v>-147.14</v>
      </c>
      <c r="I122" s="74">
        <f t="shared" si="193"/>
        <v>-115.464</v>
      </c>
      <c r="J122" s="74">
        <f t="shared" si="193"/>
        <v>-79.656</v>
      </c>
      <c r="K122" s="74">
        <f t="shared" si="193"/>
        <v>-170.6538826</v>
      </c>
      <c r="L122" s="74">
        <f t="shared" si="193"/>
        <v>-195.2797737</v>
      </c>
      <c r="M122" s="74">
        <f t="shared" si="193"/>
        <v>-221.6343439</v>
      </c>
      <c r="N122" s="74">
        <f t="shared" si="193"/>
        <v>-218.0576642</v>
      </c>
      <c r="O122" s="74">
        <f t="shared" si="193"/>
        <v>-221.5432666</v>
      </c>
      <c r="P122" s="36"/>
      <c r="Q122" s="36"/>
      <c r="R122" s="36"/>
      <c r="S122" s="36"/>
      <c r="T122" s="36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5.75" customHeight="1">
      <c r="A123" s="23"/>
      <c r="B123" s="1"/>
      <c r="C123" s="23"/>
      <c r="D123" s="23"/>
      <c r="E123" s="36"/>
      <c r="F123" s="36"/>
      <c r="G123" s="3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5.75" customHeight="1">
      <c r="A124" s="23"/>
      <c r="B124" s="36" t="s">
        <v>114</v>
      </c>
      <c r="C124" s="64" t="s">
        <v>36</v>
      </c>
      <c r="D124" s="64"/>
      <c r="E124" s="114">
        <f t="shared" ref="E124:O124" si="194">(E57-D57)+(E67-D67)</f>
        <v>800.798</v>
      </c>
      <c r="F124" s="114">
        <f t="shared" si="194"/>
        <v>124.996</v>
      </c>
      <c r="G124" s="114">
        <f t="shared" si="194"/>
        <v>10.661</v>
      </c>
      <c r="H124" s="114">
        <f t="shared" si="194"/>
        <v>-124.987</v>
      </c>
      <c r="I124" s="114">
        <f t="shared" si="194"/>
        <v>-7.599</v>
      </c>
      <c r="J124" s="114">
        <f t="shared" si="194"/>
        <v>-54.108</v>
      </c>
      <c r="K124" s="115">
        <f t="shared" si="194"/>
        <v>-109.4264263</v>
      </c>
      <c r="L124" s="115">
        <f t="shared" si="194"/>
        <v>-115.2150843</v>
      </c>
      <c r="M124" s="115">
        <f t="shared" si="194"/>
        <v>-121.3099623</v>
      </c>
      <c r="N124" s="115">
        <f t="shared" si="194"/>
        <v>-127.7272593</v>
      </c>
      <c r="O124" s="115">
        <f t="shared" si="194"/>
        <v>-134.4840313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5.75" customHeight="1">
      <c r="A125" s="23"/>
      <c r="B125" s="36" t="s">
        <v>115</v>
      </c>
      <c r="C125" s="64" t="s">
        <v>36</v>
      </c>
      <c r="D125" s="64"/>
      <c r="E125" s="114">
        <f t="shared" ref="E125:O125" si="195">+(E83-D83)-E89</f>
        <v>641.057</v>
      </c>
      <c r="F125" s="114">
        <f t="shared" si="195"/>
        <v>-3.366</v>
      </c>
      <c r="G125" s="114">
        <f t="shared" si="195"/>
        <v>-0.128</v>
      </c>
      <c r="H125" s="114">
        <f t="shared" si="195"/>
        <v>0.368</v>
      </c>
      <c r="I125" s="114">
        <f t="shared" si="195"/>
        <v>-0.772</v>
      </c>
      <c r="J125" s="114">
        <f t="shared" si="195"/>
        <v>-52.033</v>
      </c>
      <c r="K125" s="115">
        <f t="shared" si="195"/>
        <v>0</v>
      </c>
      <c r="L125" s="115">
        <f t="shared" si="195"/>
        <v>0</v>
      </c>
      <c r="M125" s="115">
        <f t="shared" si="195"/>
        <v>0</v>
      </c>
      <c r="N125" s="115">
        <f t="shared" si="195"/>
        <v>0</v>
      </c>
      <c r="O125" s="115">
        <f t="shared" si="195"/>
        <v>0</v>
      </c>
      <c r="P125" s="1"/>
      <c r="Q125" s="1"/>
      <c r="R125" s="7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5.75" customHeight="1">
      <c r="A126" s="23"/>
      <c r="B126" s="1"/>
      <c r="C126" s="23"/>
      <c r="D126" s="23"/>
      <c r="E126" s="36"/>
      <c r="F126" s="36"/>
      <c r="G126" s="3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5.75" customHeight="1">
      <c r="A127" s="23"/>
      <c r="B127" s="72" t="s">
        <v>116</v>
      </c>
      <c r="C127" s="73" t="s">
        <v>36</v>
      </c>
      <c r="D127" s="73"/>
      <c r="E127" s="128">
        <f t="shared" ref="E127:O127" si="196">E124+E125</f>
        <v>1441.855</v>
      </c>
      <c r="F127" s="128">
        <f t="shared" si="196"/>
        <v>121.63</v>
      </c>
      <c r="G127" s="128">
        <f t="shared" si="196"/>
        <v>10.533</v>
      </c>
      <c r="H127" s="74">
        <f t="shared" si="196"/>
        <v>-124.619</v>
      </c>
      <c r="I127" s="74">
        <f t="shared" si="196"/>
        <v>-8.371</v>
      </c>
      <c r="J127" s="74">
        <f t="shared" si="196"/>
        <v>-106.141</v>
      </c>
      <c r="K127" s="74">
        <f t="shared" si="196"/>
        <v>-109.4264263</v>
      </c>
      <c r="L127" s="74">
        <f t="shared" si="196"/>
        <v>-115.2150843</v>
      </c>
      <c r="M127" s="74">
        <f t="shared" si="196"/>
        <v>-121.3099623</v>
      </c>
      <c r="N127" s="74">
        <f t="shared" si="196"/>
        <v>-127.7272593</v>
      </c>
      <c r="O127" s="74">
        <f t="shared" si="196"/>
        <v>-134.4840313</v>
      </c>
      <c r="P127" s="36"/>
      <c r="Q127" s="36"/>
      <c r="R127" s="36"/>
      <c r="S127" s="36"/>
      <c r="T127" s="36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5.75" customHeight="1">
      <c r="A128" s="23"/>
      <c r="B128" s="1"/>
      <c r="C128" s="23"/>
      <c r="D128" s="23"/>
      <c r="E128" s="36"/>
      <c r="F128" s="36"/>
      <c r="G128" s="3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5.75" customHeight="1">
      <c r="A129" s="23"/>
      <c r="B129" s="72" t="s">
        <v>117</v>
      </c>
      <c r="C129" s="73" t="s">
        <v>36</v>
      </c>
      <c r="D129" s="73"/>
      <c r="E129" s="128">
        <f t="shared" ref="E129:O129" si="197">E118+E122+E127</f>
        <v>33.828</v>
      </c>
      <c r="F129" s="128">
        <f t="shared" si="197"/>
        <v>80.818</v>
      </c>
      <c r="G129" s="128">
        <f t="shared" si="197"/>
        <v>116.341</v>
      </c>
      <c r="H129" s="74">
        <f t="shared" si="197"/>
        <v>-157.287</v>
      </c>
      <c r="I129" s="74">
        <f t="shared" si="197"/>
        <v>-12.083</v>
      </c>
      <c r="J129" s="74">
        <f t="shared" si="197"/>
        <v>94.242</v>
      </c>
      <c r="K129" s="74">
        <f t="shared" si="197"/>
        <v>77.69149717</v>
      </c>
      <c r="L129" s="74">
        <f t="shared" si="197"/>
        <v>114.4512672</v>
      </c>
      <c r="M129" s="74">
        <f t="shared" si="197"/>
        <v>132.8464488</v>
      </c>
      <c r="N129" s="74">
        <f t="shared" si="197"/>
        <v>364.6691518</v>
      </c>
      <c r="O129" s="74">
        <f t="shared" si="197"/>
        <v>-78.48148275</v>
      </c>
      <c r="P129" s="36"/>
      <c r="Q129" s="36"/>
      <c r="R129" s="36"/>
      <c r="S129" s="36"/>
      <c r="T129" s="36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5.75" customHeight="1">
      <c r="A130" s="23"/>
      <c r="B130" s="1"/>
      <c r="C130" s="23"/>
      <c r="D130" s="23"/>
      <c r="E130" s="36"/>
      <c r="F130" s="36"/>
      <c r="G130" s="3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5.75" customHeight="1">
      <c r="A131" s="23"/>
      <c r="B131" s="36" t="s">
        <v>118</v>
      </c>
      <c r="C131" s="23" t="s">
        <v>36</v>
      </c>
      <c r="D131" s="23"/>
      <c r="E131" s="114" t="str">
        <f t="shared" ref="E131:O131" si="198">D132</f>
        <v/>
      </c>
      <c r="F131" s="114">
        <f t="shared" si="198"/>
        <v>33.828</v>
      </c>
      <c r="G131" s="114">
        <f t="shared" si="198"/>
        <v>114.646</v>
      </c>
      <c r="H131" s="28">
        <f t="shared" si="198"/>
        <v>230.987</v>
      </c>
      <c r="I131" s="28">
        <f t="shared" si="198"/>
        <v>73.7</v>
      </c>
      <c r="J131" s="28">
        <f t="shared" si="198"/>
        <v>61.617</v>
      </c>
      <c r="K131" s="79">
        <f t="shared" si="198"/>
        <v>155.859</v>
      </c>
      <c r="L131" s="79">
        <f t="shared" si="198"/>
        <v>233.5504972</v>
      </c>
      <c r="M131" s="79">
        <f t="shared" si="198"/>
        <v>348.0017644</v>
      </c>
      <c r="N131" s="79">
        <f t="shared" si="198"/>
        <v>480.8482131</v>
      </c>
      <c r="O131" s="79">
        <f t="shared" si="198"/>
        <v>845.5173649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5.75" customHeight="1">
      <c r="A132" s="23"/>
      <c r="B132" s="72" t="s">
        <v>119</v>
      </c>
      <c r="C132" s="73" t="s">
        <v>36</v>
      </c>
      <c r="D132" s="73"/>
      <c r="E132" s="128">
        <f t="shared" ref="E132:O132" si="199">E129+E131</f>
        <v>33.828</v>
      </c>
      <c r="F132" s="128">
        <f t="shared" si="199"/>
        <v>114.646</v>
      </c>
      <c r="G132" s="128">
        <f t="shared" si="199"/>
        <v>230.987</v>
      </c>
      <c r="H132" s="74">
        <f t="shared" si="199"/>
        <v>73.7</v>
      </c>
      <c r="I132" s="74">
        <f t="shared" si="199"/>
        <v>61.617</v>
      </c>
      <c r="J132" s="74">
        <f t="shared" si="199"/>
        <v>155.859</v>
      </c>
      <c r="K132" s="74">
        <f t="shared" si="199"/>
        <v>233.5504972</v>
      </c>
      <c r="L132" s="74">
        <f t="shared" si="199"/>
        <v>348.0017644</v>
      </c>
      <c r="M132" s="74">
        <f t="shared" si="199"/>
        <v>480.8482131</v>
      </c>
      <c r="N132" s="74">
        <f t="shared" si="199"/>
        <v>845.5173649</v>
      </c>
      <c r="O132" s="74">
        <f t="shared" si="199"/>
        <v>767.0358822</v>
      </c>
      <c r="P132" s="36"/>
      <c r="Q132" s="36"/>
      <c r="R132" s="36"/>
      <c r="S132" s="36"/>
      <c r="T132" s="36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5.75" customHeight="1">
      <c r="A133" s="23"/>
      <c r="B133" s="130"/>
      <c r="C133" s="131"/>
      <c r="D133" s="131"/>
      <c r="E133" s="132"/>
      <c r="F133" s="132"/>
      <c r="G133" s="132"/>
      <c r="H133" s="133"/>
      <c r="I133" s="133"/>
      <c r="J133" s="133"/>
      <c r="K133" s="133"/>
      <c r="L133" s="133"/>
      <c r="M133" s="133"/>
      <c r="N133" s="133"/>
      <c r="O133" s="133"/>
      <c r="P133" s="36"/>
      <c r="Q133" s="36"/>
      <c r="R133" s="36"/>
      <c r="S133" s="36"/>
      <c r="T133" s="36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5.75" customHeight="1">
      <c r="A134" s="23"/>
      <c r="B134" s="134" t="s">
        <v>120</v>
      </c>
      <c r="C134" s="135" t="s">
        <v>36</v>
      </c>
      <c r="D134" s="135"/>
      <c r="E134" s="136"/>
      <c r="F134" s="136"/>
      <c r="G134" s="136"/>
      <c r="H134" s="137"/>
      <c r="I134" s="137"/>
      <c r="J134" s="137"/>
      <c r="K134" s="137"/>
      <c r="L134" s="137"/>
      <c r="M134" s="137"/>
      <c r="N134" s="137"/>
      <c r="O134" s="137"/>
      <c r="P134" s="36"/>
      <c r="Q134" s="36"/>
      <c r="R134" s="36"/>
      <c r="S134" s="36"/>
      <c r="T134" s="36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5.75" customHeight="1">
      <c r="A135" s="23"/>
      <c r="B135" s="130"/>
      <c r="C135" s="131"/>
      <c r="D135" s="131"/>
      <c r="E135" s="132"/>
      <c r="F135" s="132"/>
      <c r="G135" s="132"/>
      <c r="H135" s="133"/>
      <c r="I135" s="133"/>
      <c r="J135" s="133"/>
      <c r="K135" s="133"/>
      <c r="L135" s="133"/>
      <c r="M135" s="133"/>
      <c r="N135" s="133"/>
      <c r="O135" s="133"/>
      <c r="P135" s="36"/>
      <c r="Q135" s="36"/>
      <c r="R135" s="36"/>
      <c r="S135" s="36"/>
      <c r="T135" s="36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5.75" customHeight="1">
      <c r="A136" s="23"/>
      <c r="B136" s="98" t="s">
        <v>61</v>
      </c>
      <c r="C136" s="131" t="s">
        <v>36</v>
      </c>
      <c r="D136" s="131"/>
      <c r="E136" s="132"/>
      <c r="F136" s="132">
        <v>0.0</v>
      </c>
      <c r="G136" s="132">
        <v>0.0</v>
      </c>
      <c r="H136" s="133">
        <v>0.0</v>
      </c>
      <c r="I136" s="133">
        <v>0.0</v>
      </c>
      <c r="J136" s="133">
        <v>0.0</v>
      </c>
      <c r="K136" s="108">
        <f t="shared" ref="K136:O136" si="200">-K36</f>
        <v>-149.6290078</v>
      </c>
      <c r="L136" s="108">
        <f t="shared" si="200"/>
        <v>-172.8850783</v>
      </c>
      <c r="M136" s="108">
        <f t="shared" si="200"/>
        <v>-191.901458</v>
      </c>
      <c r="N136" s="108">
        <f t="shared" si="200"/>
        <v>-191.901458</v>
      </c>
      <c r="O136" s="108">
        <f t="shared" si="200"/>
        <v>-198.1476608</v>
      </c>
      <c r="P136" s="36"/>
      <c r="Q136" s="36"/>
      <c r="R136" s="36"/>
      <c r="S136" s="36"/>
      <c r="T136" s="36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5.75" customHeight="1">
      <c r="A137" s="23"/>
      <c r="B137" s="98" t="s">
        <v>121</v>
      </c>
      <c r="C137" s="131" t="s">
        <v>36</v>
      </c>
      <c r="D137" s="131"/>
      <c r="E137" s="132"/>
      <c r="F137" s="132">
        <f t="shared" ref="F137:O137" si="201">F132</f>
        <v>114.646</v>
      </c>
      <c r="G137" s="132">
        <f t="shared" si="201"/>
        <v>230.987</v>
      </c>
      <c r="H137" s="132">
        <f t="shared" si="201"/>
        <v>73.7</v>
      </c>
      <c r="I137" s="132">
        <f t="shared" si="201"/>
        <v>61.617</v>
      </c>
      <c r="J137" s="132">
        <f t="shared" si="201"/>
        <v>155.859</v>
      </c>
      <c r="K137" s="138">
        <f t="shared" si="201"/>
        <v>233.5504972</v>
      </c>
      <c r="L137" s="138">
        <f t="shared" si="201"/>
        <v>348.0017644</v>
      </c>
      <c r="M137" s="138">
        <f t="shared" si="201"/>
        <v>480.8482131</v>
      </c>
      <c r="N137" s="138">
        <f t="shared" si="201"/>
        <v>845.5173649</v>
      </c>
      <c r="O137" s="138">
        <f t="shared" si="201"/>
        <v>767.0358822</v>
      </c>
      <c r="P137" s="36"/>
      <c r="Q137" s="36"/>
      <c r="R137" s="36"/>
      <c r="S137" s="36"/>
      <c r="T137" s="36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5.75" customHeight="1">
      <c r="A138" s="23"/>
      <c r="B138" s="130"/>
      <c r="C138" s="131"/>
      <c r="D138" s="131"/>
      <c r="E138" s="132"/>
      <c r="F138" s="132"/>
      <c r="G138" s="132"/>
      <c r="H138" s="133"/>
      <c r="I138" s="133"/>
      <c r="J138" s="133"/>
      <c r="K138" s="133"/>
      <c r="L138" s="133"/>
      <c r="M138" s="133"/>
      <c r="N138" s="133"/>
      <c r="O138" s="133"/>
      <c r="P138" s="36"/>
      <c r="Q138" s="36"/>
      <c r="R138" s="36"/>
      <c r="S138" s="36"/>
      <c r="T138" s="36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5.75" customHeight="1">
      <c r="A139" s="23"/>
      <c r="B139" s="139" t="s">
        <v>122</v>
      </c>
      <c r="C139" s="140" t="s">
        <v>36</v>
      </c>
      <c r="D139" s="140"/>
      <c r="E139" s="129"/>
      <c r="F139" s="129">
        <f t="shared" ref="F139:O139" si="202">SUM(F136:F137)</f>
        <v>114.646</v>
      </c>
      <c r="G139" s="129">
        <f t="shared" si="202"/>
        <v>230.987</v>
      </c>
      <c r="H139" s="129">
        <f t="shared" si="202"/>
        <v>73.7</v>
      </c>
      <c r="I139" s="129">
        <f t="shared" si="202"/>
        <v>61.617</v>
      </c>
      <c r="J139" s="129">
        <f t="shared" si="202"/>
        <v>155.859</v>
      </c>
      <c r="K139" s="129">
        <f t="shared" si="202"/>
        <v>83.92148941</v>
      </c>
      <c r="L139" s="129">
        <f t="shared" si="202"/>
        <v>175.1166861</v>
      </c>
      <c r="M139" s="129">
        <f t="shared" si="202"/>
        <v>288.9467552</v>
      </c>
      <c r="N139" s="129">
        <f t="shared" si="202"/>
        <v>653.615907</v>
      </c>
      <c r="O139" s="129">
        <f t="shared" si="202"/>
        <v>568.8882214</v>
      </c>
      <c r="P139" s="36"/>
      <c r="Q139" s="36"/>
      <c r="R139" s="36"/>
      <c r="S139" s="36"/>
      <c r="T139" s="36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5.75" customHeight="1">
      <c r="A140" s="23"/>
      <c r="B140" s="130"/>
      <c r="C140" s="131"/>
      <c r="D140" s="131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36"/>
      <c r="Q140" s="36"/>
      <c r="R140" s="36"/>
      <c r="S140" s="36"/>
      <c r="T140" s="36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5.75" customHeight="1">
      <c r="A141" s="23"/>
      <c r="B141" s="141" t="s">
        <v>123</v>
      </c>
      <c r="C141" s="142" t="s">
        <v>36</v>
      </c>
      <c r="D141" s="142"/>
      <c r="E141" s="143"/>
      <c r="F141" s="143">
        <f t="shared" ref="F141:O141" si="203">IF(F139&gt;0,F139)</f>
        <v>114.646</v>
      </c>
      <c r="G141" s="143">
        <f t="shared" si="203"/>
        <v>230.987</v>
      </c>
      <c r="H141" s="143">
        <f t="shared" si="203"/>
        <v>73.7</v>
      </c>
      <c r="I141" s="143">
        <f t="shared" si="203"/>
        <v>61.617</v>
      </c>
      <c r="J141" s="143">
        <f t="shared" si="203"/>
        <v>155.859</v>
      </c>
      <c r="K141" s="144">
        <f t="shared" si="203"/>
        <v>83.92148941</v>
      </c>
      <c r="L141" s="144">
        <f t="shared" si="203"/>
        <v>175.1166861</v>
      </c>
      <c r="M141" s="144">
        <f t="shared" si="203"/>
        <v>288.9467552</v>
      </c>
      <c r="N141" s="144">
        <f t="shared" si="203"/>
        <v>653.615907</v>
      </c>
      <c r="O141" s="144">
        <f t="shared" si="203"/>
        <v>568.8882214</v>
      </c>
      <c r="P141" s="36"/>
      <c r="Q141" s="36"/>
      <c r="R141" s="36"/>
      <c r="S141" s="36"/>
      <c r="T141" s="36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5.75" customHeight="1">
      <c r="A142" s="23"/>
      <c r="B142" s="130"/>
      <c r="C142" s="131"/>
      <c r="D142" s="131"/>
      <c r="E142" s="132"/>
      <c r="F142" s="132"/>
      <c r="G142" s="132"/>
      <c r="H142" s="133"/>
      <c r="I142" s="133"/>
      <c r="J142" s="133"/>
      <c r="K142" s="133"/>
      <c r="L142" s="133"/>
      <c r="M142" s="133"/>
      <c r="N142" s="133"/>
      <c r="O142" s="133"/>
      <c r="P142" s="36"/>
      <c r="Q142" s="36"/>
      <c r="R142" s="36"/>
      <c r="S142" s="36"/>
      <c r="T142" s="36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5.75" customHeight="1">
      <c r="A143" s="23"/>
      <c r="B143" s="141" t="s">
        <v>124</v>
      </c>
      <c r="C143" s="142" t="s">
        <v>36</v>
      </c>
      <c r="D143" s="142"/>
      <c r="E143" s="143"/>
      <c r="F143" s="143">
        <f t="shared" ref="F143:O143" si="204">IF(F139&lt;0,-F139,0)</f>
        <v>0</v>
      </c>
      <c r="G143" s="143">
        <f t="shared" si="204"/>
        <v>0</v>
      </c>
      <c r="H143" s="143">
        <f t="shared" si="204"/>
        <v>0</v>
      </c>
      <c r="I143" s="143">
        <f t="shared" si="204"/>
        <v>0</v>
      </c>
      <c r="J143" s="143">
        <f t="shared" si="204"/>
        <v>0</v>
      </c>
      <c r="K143" s="145">
        <f t="shared" si="204"/>
        <v>0</v>
      </c>
      <c r="L143" s="145">
        <f t="shared" si="204"/>
        <v>0</v>
      </c>
      <c r="M143" s="145">
        <f t="shared" si="204"/>
        <v>0</v>
      </c>
      <c r="N143" s="145">
        <f t="shared" si="204"/>
        <v>0</v>
      </c>
      <c r="O143" s="145">
        <f t="shared" si="204"/>
        <v>0</v>
      </c>
      <c r="P143" s="36"/>
      <c r="Q143" s="36"/>
      <c r="R143" s="36"/>
      <c r="S143" s="36"/>
      <c r="T143" s="36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5.75" customHeight="1">
      <c r="A144" s="23"/>
      <c r="B144" s="1"/>
      <c r="C144" s="23"/>
      <c r="D144" s="2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5.0" customHeight="1">
      <c r="A145" s="23"/>
      <c r="B145" s="146" t="s">
        <v>125</v>
      </c>
      <c r="C145" s="118" t="s">
        <v>36</v>
      </c>
      <c r="D145" s="118"/>
      <c r="E145" s="146"/>
      <c r="F145" s="147">
        <f t="shared" ref="F145:O145" si="205">ROUND(F132-F36,0)</f>
        <v>0</v>
      </c>
      <c r="G145" s="147">
        <f t="shared" si="205"/>
        <v>0</v>
      </c>
      <c r="H145" s="147">
        <f t="shared" si="205"/>
        <v>0</v>
      </c>
      <c r="I145" s="147">
        <f t="shared" si="205"/>
        <v>0</v>
      </c>
      <c r="J145" s="147">
        <f t="shared" si="205"/>
        <v>0</v>
      </c>
      <c r="K145" s="148">
        <f t="shared" si="205"/>
        <v>84</v>
      </c>
      <c r="L145" s="148">
        <f t="shared" si="205"/>
        <v>175</v>
      </c>
      <c r="M145" s="148">
        <f t="shared" si="205"/>
        <v>289</v>
      </c>
      <c r="N145" s="148">
        <f t="shared" si="205"/>
        <v>654</v>
      </c>
      <c r="O145" s="148">
        <f t="shared" si="205"/>
        <v>569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5.0" customHeight="1">
      <c r="A146" s="23"/>
      <c r="B146" s="1"/>
      <c r="C146" s="23"/>
      <c r="D146" s="2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5.75" customHeight="1">
      <c r="A147" s="23" t="s">
        <v>33</v>
      </c>
      <c r="B147" s="149" t="s">
        <v>81</v>
      </c>
      <c r="C147" s="150"/>
      <c r="D147" s="150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59"/>
      <c r="Q147" s="59"/>
      <c r="R147" s="59"/>
      <c r="S147" s="59"/>
      <c r="T147" s="59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5.75" customHeight="1">
      <c r="A148" s="23"/>
      <c r="B148" s="1"/>
      <c r="C148" s="23"/>
      <c r="D148" s="2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5.75" customHeight="1">
      <c r="A149" s="23"/>
      <c r="B149" s="1"/>
      <c r="C149" s="23"/>
      <c r="D149" s="2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7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5.75" customHeight="1">
      <c r="A150" s="23"/>
      <c r="B150" s="28"/>
      <c r="C150" s="23"/>
      <c r="D150" s="2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5.75" customHeight="1">
      <c r="A151" s="23"/>
      <c r="B151" s="1"/>
      <c r="C151" s="23"/>
      <c r="D151" s="23"/>
      <c r="E151" s="1"/>
      <c r="F151" s="1"/>
      <c r="G151" s="1"/>
      <c r="H151" s="1"/>
      <c r="I151" s="1"/>
      <c r="J151" s="151"/>
      <c r="K151" s="151"/>
      <c r="L151" s="151"/>
      <c r="M151" s="151"/>
      <c r="N151" s="151"/>
      <c r="O151" s="15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5.75" customHeight="1">
      <c r="A152" s="23"/>
      <c r="B152" s="1"/>
      <c r="C152" s="23"/>
      <c r="D152" s="2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5.75" customHeight="1">
      <c r="A153" s="23"/>
      <c r="B153" s="1"/>
      <c r="C153" s="23"/>
      <c r="D153" s="2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5.75" customHeight="1">
      <c r="A154" s="23"/>
      <c r="B154" s="1"/>
      <c r="C154" s="23"/>
      <c r="D154" s="2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5.75" customHeight="1">
      <c r="A155" s="23"/>
      <c r="B155" s="1"/>
      <c r="C155" s="23"/>
      <c r="D155" s="2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5.75" customHeight="1">
      <c r="A156" s="23"/>
      <c r="B156" s="1"/>
      <c r="C156" s="23"/>
      <c r="D156" s="2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5.75" customHeight="1">
      <c r="A157" s="23"/>
      <c r="B157" s="1"/>
      <c r="C157" s="23"/>
      <c r="D157" s="2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5.75" customHeight="1">
      <c r="A158" s="23"/>
      <c r="B158" s="1"/>
      <c r="C158" s="23"/>
      <c r="D158" s="2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5.75" customHeight="1">
      <c r="A159" s="23"/>
      <c r="B159" s="1"/>
      <c r="C159" s="23"/>
      <c r="D159" s="2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5.75" customHeight="1">
      <c r="A160" s="23"/>
      <c r="B160" s="1"/>
      <c r="C160" s="23"/>
      <c r="D160" s="2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5.75" customHeight="1">
      <c r="A161" s="23"/>
      <c r="B161" s="1"/>
      <c r="C161" s="23"/>
      <c r="D161" s="2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5.75" customHeight="1">
      <c r="A162" s="23"/>
      <c r="B162" s="1"/>
      <c r="C162" s="23"/>
      <c r="D162" s="2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5.75" customHeight="1">
      <c r="A163" s="23"/>
      <c r="B163" s="1"/>
      <c r="C163" s="23"/>
      <c r="D163" s="2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5.75" customHeight="1">
      <c r="A164" s="23"/>
      <c r="B164" s="1"/>
      <c r="C164" s="23"/>
      <c r="D164" s="2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5.75" customHeight="1">
      <c r="A165" s="23"/>
      <c r="B165" s="1"/>
      <c r="C165" s="23"/>
      <c r="D165" s="2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5.75" customHeight="1">
      <c r="A166" s="23"/>
      <c r="B166" s="1"/>
      <c r="C166" s="23"/>
      <c r="D166" s="2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5.75" customHeight="1">
      <c r="A167" s="23"/>
      <c r="B167" s="1"/>
      <c r="C167" s="23"/>
      <c r="D167" s="2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5.75" customHeight="1">
      <c r="A168" s="23"/>
      <c r="B168" s="1"/>
      <c r="C168" s="23"/>
      <c r="D168" s="2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5.75" customHeight="1">
      <c r="A169" s="23"/>
      <c r="B169" s="1"/>
      <c r="C169" s="23"/>
      <c r="D169" s="2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5.75" customHeight="1">
      <c r="A170" s="23"/>
      <c r="B170" s="1"/>
      <c r="C170" s="23"/>
      <c r="D170" s="2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5.75" customHeight="1">
      <c r="A171" s="23"/>
      <c r="B171" s="1"/>
      <c r="C171" s="23"/>
      <c r="D171" s="2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5.75" customHeight="1">
      <c r="A172" s="23"/>
      <c r="B172" s="1"/>
      <c r="C172" s="23"/>
      <c r="D172" s="2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5.75" customHeight="1">
      <c r="A173" s="23"/>
      <c r="B173" s="1"/>
      <c r="C173" s="23"/>
      <c r="D173" s="2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5.75" customHeight="1">
      <c r="A174" s="23"/>
      <c r="B174" s="1"/>
      <c r="C174" s="23"/>
      <c r="D174" s="2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5.75" customHeight="1">
      <c r="A175" s="23"/>
      <c r="B175" s="1"/>
      <c r="C175" s="23"/>
      <c r="D175" s="2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5.75" customHeight="1">
      <c r="A176" s="23"/>
      <c r="B176" s="1"/>
      <c r="C176" s="23"/>
      <c r="D176" s="2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5.75" customHeight="1">
      <c r="A177" s="23"/>
      <c r="B177" s="1"/>
      <c r="C177" s="23"/>
      <c r="D177" s="2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5.75" customHeight="1">
      <c r="A178" s="23"/>
      <c r="B178" s="1"/>
      <c r="C178" s="23"/>
      <c r="D178" s="2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5.75" customHeight="1">
      <c r="A179" s="23"/>
      <c r="B179" s="1"/>
      <c r="C179" s="23"/>
      <c r="D179" s="2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5.75" customHeight="1">
      <c r="A180" s="23"/>
      <c r="B180" s="1"/>
      <c r="C180" s="23"/>
      <c r="D180" s="2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5.75" customHeight="1">
      <c r="A181" s="23"/>
      <c r="B181" s="1"/>
      <c r="C181" s="23"/>
      <c r="D181" s="2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5.75" customHeight="1">
      <c r="A182" s="23"/>
      <c r="B182" s="1"/>
      <c r="C182" s="23"/>
      <c r="D182" s="2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5.75" customHeight="1">
      <c r="A183" s="23"/>
      <c r="B183" s="1"/>
      <c r="C183" s="23"/>
      <c r="D183" s="2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5.75" customHeight="1">
      <c r="A184" s="23"/>
      <c r="B184" s="1"/>
      <c r="C184" s="23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5.75" customHeight="1">
      <c r="A185" s="23"/>
      <c r="B185" s="1"/>
      <c r="C185" s="23"/>
      <c r="D185" s="2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5.75" customHeight="1">
      <c r="A186" s="23"/>
      <c r="B186" s="1"/>
      <c r="C186" s="23"/>
      <c r="D186" s="2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5.75" customHeight="1">
      <c r="A187" s="23"/>
      <c r="B187" s="1"/>
      <c r="C187" s="23"/>
      <c r="D187" s="2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5.75" customHeight="1">
      <c r="A188" s="23"/>
      <c r="B188" s="1"/>
      <c r="C188" s="23"/>
      <c r="D188" s="2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5.75" customHeight="1">
      <c r="A189" s="23"/>
      <c r="B189" s="1"/>
      <c r="C189" s="23"/>
      <c r="D189" s="2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5.75" customHeight="1">
      <c r="A190" s="23"/>
      <c r="B190" s="1"/>
      <c r="C190" s="23"/>
      <c r="D190" s="2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5.75" customHeight="1">
      <c r="A191" s="23"/>
      <c r="B191" s="1"/>
      <c r="C191" s="23"/>
      <c r="D191" s="2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5.75" customHeight="1">
      <c r="A192" s="23"/>
      <c r="B192" s="1"/>
      <c r="C192" s="23"/>
      <c r="D192" s="2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5.75" customHeight="1">
      <c r="A193" s="23"/>
      <c r="B193" s="1"/>
      <c r="C193" s="23"/>
      <c r="D193" s="2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5.75" customHeight="1">
      <c r="A194" s="23"/>
      <c r="B194" s="1"/>
      <c r="C194" s="23"/>
      <c r="D194" s="2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5.75" customHeight="1">
      <c r="A195" s="23"/>
      <c r="B195" s="1"/>
      <c r="C195" s="23"/>
      <c r="D195" s="2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5.75" customHeight="1">
      <c r="A196" s="23"/>
      <c r="B196" s="1"/>
      <c r="C196" s="23"/>
      <c r="D196" s="2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5.75" customHeight="1">
      <c r="A197" s="23"/>
      <c r="B197" s="1"/>
      <c r="C197" s="23"/>
      <c r="D197" s="2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5.75" customHeight="1">
      <c r="A198" s="23"/>
      <c r="B198" s="1"/>
      <c r="C198" s="23"/>
      <c r="D198" s="2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5.75" customHeight="1">
      <c r="A199" s="23"/>
      <c r="B199" s="1"/>
      <c r="C199" s="23"/>
      <c r="D199" s="2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5.75" customHeight="1">
      <c r="A200" s="23"/>
      <c r="B200" s="1"/>
      <c r="C200" s="23"/>
      <c r="D200" s="2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5.75" customHeight="1">
      <c r="A201" s="23"/>
      <c r="B201" s="1"/>
      <c r="C201" s="23"/>
      <c r="D201" s="2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5.75" customHeight="1">
      <c r="A202" s="23"/>
      <c r="B202" s="1"/>
      <c r="C202" s="23"/>
      <c r="D202" s="2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5.75" customHeight="1">
      <c r="A203" s="23"/>
      <c r="B203" s="1"/>
      <c r="C203" s="23"/>
      <c r="D203" s="2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5.75" customHeight="1">
      <c r="A204" s="23"/>
      <c r="B204" s="1"/>
      <c r="C204" s="23"/>
      <c r="D204" s="2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5.75" customHeight="1">
      <c r="A205" s="23"/>
      <c r="B205" s="1"/>
      <c r="C205" s="23"/>
      <c r="D205" s="2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5.75" customHeight="1">
      <c r="A206" s="23"/>
      <c r="B206" s="1"/>
      <c r="C206" s="23"/>
      <c r="D206" s="2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5.75" customHeight="1">
      <c r="A207" s="23"/>
      <c r="B207" s="1"/>
      <c r="C207" s="23"/>
      <c r="D207" s="2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5.75" customHeight="1">
      <c r="A208" s="23"/>
      <c r="B208" s="1"/>
      <c r="C208" s="23"/>
      <c r="D208" s="2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5.75" customHeight="1">
      <c r="A209" s="23"/>
      <c r="B209" s="1"/>
      <c r="C209" s="23"/>
      <c r="D209" s="2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5.75" customHeight="1">
      <c r="A210" s="23"/>
      <c r="B210" s="1"/>
      <c r="C210" s="23"/>
      <c r="D210" s="2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5.75" customHeight="1">
      <c r="A211" s="23"/>
      <c r="B211" s="1"/>
      <c r="C211" s="23"/>
      <c r="D211" s="2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5.75" customHeight="1">
      <c r="A212" s="23"/>
      <c r="B212" s="1"/>
      <c r="C212" s="23"/>
      <c r="D212" s="2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5.75" customHeight="1">
      <c r="A213" s="23"/>
      <c r="B213" s="1"/>
      <c r="C213" s="23"/>
      <c r="D213" s="2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5.75" customHeight="1">
      <c r="A214" s="23"/>
      <c r="B214" s="1"/>
      <c r="C214" s="23"/>
      <c r="D214" s="2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5.75" customHeight="1">
      <c r="A215" s="23"/>
      <c r="B215" s="1"/>
      <c r="C215" s="23"/>
      <c r="D215" s="2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5.75" customHeight="1">
      <c r="A216" s="23"/>
      <c r="B216" s="1"/>
      <c r="C216" s="23"/>
      <c r="D216" s="2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5.75" customHeight="1">
      <c r="A217" s="23"/>
      <c r="B217" s="1"/>
      <c r="C217" s="23"/>
      <c r="D217" s="2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5.75" customHeight="1">
      <c r="A218" s="23"/>
      <c r="B218" s="1"/>
      <c r="C218" s="23"/>
      <c r="D218" s="2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5.75" customHeight="1">
      <c r="A219" s="23"/>
      <c r="B219" s="1"/>
      <c r="C219" s="23"/>
      <c r="D219" s="2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5.75" customHeight="1">
      <c r="A220" s="23"/>
      <c r="B220" s="1"/>
      <c r="C220" s="23"/>
      <c r="D220" s="2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5.75" customHeight="1">
      <c r="A221" s="23"/>
      <c r="B221" s="1"/>
      <c r="C221" s="23"/>
      <c r="D221" s="2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5.75" customHeight="1">
      <c r="A222" s="23"/>
      <c r="B222" s="1"/>
      <c r="C222" s="23"/>
      <c r="D222" s="2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5.75" customHeight="1">
      <c r="A223" s="23"/>
      <c r="B223" s="1"/>
      <c r="C223" s="23"/>
      <c r="D223" s="2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5.75" customHeight="1">
      <c r="A224" s="23"/>
      <c r="B224" s="1"/>
      <c r="C224" s="23"/>
      <c r="D224" s="2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5.75" customHeight="1">
      <c r="A225" s="23"/>
      <c r="B225" s="1"/>
      <c r="C225" s="23"/>
      <c r="D225" s="2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5.75" customHeight="1">
      <c r="A226" s="23"/>
      <c r="B226" s="1"/>
      <c r="C226" s="23"/>
      <c r="D226" s="2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5.75" customHeight="1">
      <c r="A227" s="23"/>
      <c r="B227" s="1"/>
      <c r="C227" s="23"/>
      <c r="D227" s="2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5.75" customHeight="1">
      <c r="A228" s="23"/>
      <c r="B228" s="1"/>
      <c r="C228" s="23"/>
      <c r="D228" s="2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5.75" customHeight="1">
      <c r="A229" s="23"/>
      <c r="B229" s="1"/>
      <c r="C229" s="23"/>
      <c r="D229" s="2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5.75" customHeight="1">
      <c r="A230" s="23"/>
      <c r="B230" s="1"/>
      <c r="C230" s="23"/>
      <c r="D230" s="2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5.75" customHeight="1">
      <c r="A231" s="23"/>
      <c r="B231" s="1"/>
      <c r="C231" s="23"/>
      <c r="D231" s="2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5.75" customHeight="1">
      <c r="A232" s="23"/>
      <c r="B232" s="1"/>
      <c r="C232" s="23"/>
      <c r="D232" s="2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5.75" customHeight="1">
      <c r="A233" s="23"/>
      <c r="B233" s="1"/>
      <c r="C233" s="23"/>
      <c r="D233" s="2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5.75" customHeight="1">
      <c r="A234" s="23"/>
      <c r="B234" s="1"/>
      <c r="C234" s="23"/>
      <c r="D234" s="2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5.75" customHeight="1">
      <c r="A235" s="23"/>
      <c r="B235" s="1"/>
      <c r="C235" s="23"/>
      <c r="D235" s="2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5.75" customHeight="1">
      <c r="A236" s="23"/>
      <c r="B236" s="1"/>
      <c r="C236" s="23"/>
      <c r="D236" s="2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5.75" customHeight="1">
      <c r="A237" s="23"/>
      <c r="B237" s="1"/>
      <c r="C237" s="23"/>
      <c r="D237" s="2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5.75" customHeight="1">
      <c r="A238" s="23"/>
      <c r="B238" s="1"/>
      <c r="C238" s="23"/>
      <c r="D238" s="2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5.75" customHeight="1">
      <c r="A239" s="23"/>
      <c r="B239" s="1"/>
      <c r="C239" s="23"/>
      <c r="D239" s="2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5.75" customHeight="1">
      <c r="A240" s="23"/>
      <c r="B240" s="1"/>
      <c r="C240" s="23"/>
      <c r="D240" s="2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5.75" customHeight="1">
      <c r="A241" s="23"/>
      <c r="B241" s="1"/>
      <c r="C241" s="23"/>
      <c r="D241" s="2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5.75" customHeight="1">
      <c r="A242" s="23"/>
      <c r="B242" s="1"/>
      <c r="C242" s="23"/>
      <c r="D242" s="2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5.75" customHeight="1">
      <c r="A243" s="23"/>
      <c r="B243" s="1"/>
      <c r="C243" s="23"/>
      <c r="D243" s="2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5.75" customHeight="1">
      <c r="A244" s="23"/>
      <c r="B244" s="1"/>
      <c r="C244" s="23"/>
      <c r="D244" s="2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5.75" customHeight="1">
      <c r="A245" s="23"/>
      <c r="B245" s="1"/>
      <c r="C245" s="23"/>
      <c r="D245" s="2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5.75" customHeight="1">
      <c r="A246" s="23"/>
      <c r="B246" s="1"/>
      <c r="C246" s="23"/>
      <c r="D246" s="2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5.75" customHeight="1">
      <c r="A247" s="23"/>
      <c r="B247" s="1"/>
      <c r="C247" s="23"/>
      <c r="D247" s="2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5.75" customHeight="1">
      <c r="A248" s="23"/>
      <c r="B248" s="1"/>
      <c r="C248" s="23"/>
      <c r="D248" s="2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5.75" customHeight="1">
      <c r="A249" s="23"/>
      <c r="B249" s="1"/>
      <c r="C249" s="23"/>
      <c r="D249" s="2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5.75" customHeight="1">
      <c r="A250" s="23"/>
      <c r="B250" s="1"/>
      <c r="C250" s="23"/>
      <c r="D250" s="2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5.75" customHeight="1">
      <c r="A251" s="23"/>
      <c r="B251" s="1"/>
      <c r="C251" s="23"/>
      <c r="D251" s="2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5.75" customHeight="1">
      <c r="A252" s="23"/>
      <c r="B252" s="1"/>
      <c r="C252" s="23"/>
      <c r="D252" s="2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5.75" customHeight="1">
      <c r="A253" s="23"/>
      <c r="B253" s="1"/>
      <c r="C253" s="23"/>
      <c r="D253" s="2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5.75" customHeight="1">
      <c r="A254" s="23"/>
      <c r="B254" s="1"/>
      <c r="C254" s="23"/>
      <c r="D254" s="2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5.75" customHeight="1">
      <c r="A255" s="23"/>
      <c r="B255" s="1"/>
      <c r="C255" s="23"/>
      <c r="D255" s="2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5.75" customHeight="1">
      <c r="A256" s="23"/>
      <c r="B256" s="1"/>
      <c r="C256" s="23"/>
      <c r="D256" s="2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5.75" customHeight="1">
      <c r="A257" s="23"/>
      <c r="B257" s="1"/>
      <c r="C257" s="23"/>
      <c r="D257" s="2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5.75" customHeight="1">
      <c r="A258" s="23"/>
      <c r="B258" s="1"/>
      <c r="C258" s="23"/>
      <c r="D258" s="2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5.75" customHeight="1">
      <c r="A259" s="23"/>
      <c r="B259" s="1"/>
      <c r="C259" s="23"/>
      <c r="D259" s="2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5.75" customHeight="1">
      <c r="A260" s="23"/>
      <c r="B260" s="1"/>
      <c r="C260" s="23"/>
      <c r="D260" s="2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5.75" customHeight="1">
      <c r="A261" s="23"/>
      <c r="B261" s="1"/>
      <c r="C261" s="23"/>
      <c r="D261" s="2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5.75" customHeight="1">
      <c r="A262" s="23"/>
      <c r="B262" s="1"/>
      <c r="C262" s="23"/>
      <c r="D262" s="2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5.75" customHeight="1">
      <c r="A263" s="23"/>
      <c r="B263" s="1"/>
      <c r="C263" s="23"/>
      <c r="D263" s="2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5.75" customHeight="1">
      <c r="A264" s="23"/>
      <c r="B264" s="1"/>
      <c r="C264" s="23"/>
      <c r="D264" s="2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5.75" customHeight="1">
      <c r="A265" s="23"/>
      <c r="B265" s="1"/>
      <c r="C265" s="23"/>
      <c r="D265" s="2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5.75" customHeight="1">
      <c r="A266" s="23"/>
      <c r="B266" s="1"/>
      <c r="C266" s="23"/>
      <c r="D266" s="2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5.75" customHeight="1">
      <c r="A267" s="23"/>
      <c r="B267" s="1"/>
      <c r="C267" s="23"/>
      <c r="D267" s="2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5.75" customHeight="1">
      <c r="A268" s="23"/>
      <c r="B268" s="1"/>
      <c r="C268" s="23"/>
      <c r="D268" s="2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5.75" customHeight="1">
      <c r="A269" s="23"/>
      <c r="B269" s="1"/>
      <c r="C269" s="23"/>
      <c r="D269" s="2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5.75" customHeight="1">
      <c r="A270" s="23"/>
      <c r="B270" s="1"/>
      <c r="C270" s="23"/>
      <c r="D270" s="2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5.75" customHeight="1">
      <c r="A271" s="23"/>
      <c r="B271" s="1"/>
      <c r="C271" s="23"/>
      <c r="D271" s="2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5.75" customHeight="1">
      <c r="A272" s="23"/>
      <c r="B272" s="1"/>
      <c r="C272" s="23"/>
      <c r="D272" s="2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5.75" customHeight="1">
      <c r="A273" s="23"/>
      <c r="B273" s="1"/>
      <c r="C273" s="23"/>
      <c r="D273" s="2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5.75" customHeight="1">
      <c r="A274" s="23"/>
      <c r="B274" s="1"/>
      <c r="C274" s="23"/>
      <c r="D274" s="2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5.75" customHeight="1">
      <c r="A275" s="23"/>
      <c r="B275" s="1"/>
      <c r="C275" s="23"/>
      <c r="D275" s="2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5.75" customHeight="1">
      <c r="A276" s="23"/>
      <c r="B276" s="1"/>
      <c r="C276" s="23"/>
      <c r="D276" s="2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5.75" customHeight="1">
      <c r="A277" s="23"/>
      <c r="B277" s="1"/>
      <c r="C277" s="23"/>
      <c r="D277" s="2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5.75" customHeight="1">
      <c r="A278" s="23"/>
      <c r="B278" s="1"/>
      <c r="C278" s="23"/>
      <c r="D278" s="2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5.75" customHeight="1">
      <c r="A279" s="23"/>
      <c r="B279" s="1"/>
      <c r="C279" s="23"/>
      <c r="D279" s="2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5.75" customHeight="1">
      <c r="A280" s="23"/>
      <c r="B280" s="1"/>
      <c r="C280" s="23"/>
      <c r="D280" s="2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5.75" customHeight="1">
      <c r="A281" s="23"/>
      <c r="B281" s="1"/>
      <c r="C281" s="23"/>
      <c r="D281" s="2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5.75" customHeight="1">
      <c r="A282" s="23"/>
      <c r="B282" s="1"/>
      <c r="C282" s="23"/>
      <c r="D282" s="2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5.75" customHeight="1">
      <c r="A283" s="23"/>
      <c r="B283" s="1"/>
      <c r="C283" s="23"/>
      <c r="D283" s="2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5.75" customHeight="1">
      <c r="A284" s="23"/>
      <c r="B284" s="1"/>
      <c r="C284" s="23"/>
      <c r="D284" s="2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5.75" customHeight="1">
      <c r="A285" s="23"/>
      <c r="B285" s="1"/>
      <c r="C285" s="23"/>
      <c r="D285" s="2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5.75" customHeight="1">
      <c r="A286" s="23"/>
      <c r="B286" s="1"/>
      <c r="C286" s="23"/>
      <c r="D286" s="2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5.75" customHeight="1">
      <c r="A287" s="23"/>
      <c r="B287" s="1"/>
      <c r="C287" s="23"/>
      <c r="D287" s="2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5.75" customHeight="1">
      <c r="A288" s="23"/>
      <c r="B288" s="1"/>
      <c r="C288" s="23"/>
      <c r="D288" s="2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5.75" customHeight="1">
      <c r="A289" s="23"/>
      <c r="B289" s="1"/>
      <c r="C289" s="23"/>
      <c r="D289" s="2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5.75" customHeight="1">
      <c r="A290" s="23"/>
      <c r="B290" s="1"/>
      <c r="C290" s="23"/>
      <c r="D290" s="2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5.75" customHeight="1">
      <c r="A291" s="23"/>
      <c r="B291" s="1"/>
      <c r="C291" s="23"/>
      <c r="D291" s="2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5.75" customHeight="1">
      <c r="A292" s="23"/>
      <c r="B292" s="1"/>
      <c r="C292" s="23"/>
      <c r="D292" s="2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5.75" customHeight="1">
      <c r="A293" s="23"/>
      <c r="B293" s="1"/>
      <c r="C293" s="23"/>
      <c r="D293" s="2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5.75" customHeight="1">
      <c r="A294" s="23"/>
      <c r="B294" s="1"/>
      <c r="C294" s="23"/>
      <c r="D294" s="2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5.75" customHeight="1">
      <c r="A295" s="23"/>
      <c r="B295" s="1"/>
      <c r="C295" s="23"/>
      <c r="D295" s="2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5.75" customHeight="1">
      <c r="A296" s="23"/>
      <c r="B296" s="1"/>
      <c r="C296" s="23"/>
      <c r="D296" s="2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5.75" customHeight="1">
      <c r="A297" s="23"/>
      <c r="B297" s="1"/>
      <c r="C297" s="23"/>
      <c r="D297" s="2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5.75" customHeight="1">
      <c r="A298" s="23"/>
      <c r="B298" s="1"/>
      <c r="C298" s="23"/>
      <c r="D298" s="2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5.75" customHeight="1">
      <c r="A299" s="23"/>
      <c r="B299" s="1"/>
      <c r="C299" s="23"/>
      <c r="D299" s="2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5.75" customHeight="1">
      <c r="A300" s="23"/>
      <c r="B300" s="1"/>
      <c r="C300" s="23"/>
      <c r="D300" s="2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5.75" customHeight="1">
      <c r="A301" s="23"/>
      <c r="B301" s="1"/>
      <c r="C301" s="23"/>
      <c r="D301" s="2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5.75" customHeight="1">
      <c r="A302" s="23"/>
      <c r="B302" s="1"/>
      <c r="C302" s="23"/>
      <c r="D302" s="2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5.75" customHeight="1">
      <c r="A303" s="23"/>
      <c r="B303" s="1"/>
      <c r="C303" s="23"/>
      <c r="D303" s="2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5.75" customHeight="1">
      <c r="A304" s="23"/>
      <c r="B304" s="1"/>
      <c r="C304" s="23"/>
      <c r="D304" s="2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5.75" customHeight="1">
      <c r="A305" s="23"/>
      <c r="B305" s="1"/>
      <c r="C305" s="23"/>
      <c r="D305" s="2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5.75" customHeight="1">
      <c r="A306" s="23"/>
      <c r="B306" s="1"/>
      <c r="C306" s="23"/>
      <c r="D306" s="2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5.75" customHeight="1">
      <c r="A307" s="23"/>
      <c r="B307" s="1"/>
      <c r="C307" s="23"/>
      <c r="D307" s="2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5.75" customHeight="1">
      <c r="A308" s="23"/>
      <c r="B308" s="1"/>
      <c r="C308" s="23"/>
      <c r="D308" s="2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5.75" customHeight="1">
      <c r="A309" s="23"/>
      <c r="B309" s="1"/>
      <c r="C309" s="23"/>
      <c r="D309" s="2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5.75" customHeight="1">
      <c r="A310" s="23"/>
      <c r="B310" s="1"/>
      <c r="C310" s="23"/>
      <c r="D310" s="2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5.75" customHeight="1">
      <c r="A311" s="23"/>
      <c r="B311" s="1"/>
      <c r="C311" s="23"/>
      <c r="D311" s="2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5.75" customHeight="1">
      <c r="A312" s="23"/>
      <c r="B312" s="1"/>
      <c r="C312" s="23"/>
      <c r="D312" s="2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5.75" customHeight="1">
      <c r="A313" s="23"/>
      <c r="B313" s="1"/>
      <c r="C313" s="23"/>
      <c r="D313" s="2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5.75" customHeight="1">
      <c r="A314" s="23"/>
      <c r="B314" s="1"/>
      <c r="C314" s="23"/>
      <c r="D314" s="2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5.75" customHeight="1">
      <c r="A315" s="23"/>
      <c r="B315" s="1"/>
      <c r="C315" s="23"/>
      <c r="D315" s="2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5.75" customHeight="1">
      <c r="A316" s="23"/>
      <c r="B316" s="1"/>
      <c r="C316" s="23"/>
      <c r="D316" s="2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5.75" customHeight="1">
      <c r="A317" s="23"/>
      <c r="B317" s="1"/>
      <c r="C317" s="23"/>
      <c r="D317" s="2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5.75" customHeight="1">
      <c r="A318" s="23"/>
      <c r="B318" s="1"/>
      <c r="C318" s="23"/>
      <c r="D318" s="2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5.75" customHeight="1">
      <c r="A319" s="23"/>
      <c r="B319" s="1"/>
      <c r="C319" s="23"/>
      <c r="D319" s="2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5.75" customHeight="1">
      <c r="A320" s="23"/>
      <c r="B320" s="1"/>
      <c r="C320" s="23"/>
      <c r="D320" s="2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5.75" customHeight="1">
      <c r="A321" s="23"/>
      <c r="B321" s="1"/>
      <c r="C321" s="23"/>
      <c r="D321" s="2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5.75" customHeight="1">
      <c r="A322" s="23"/>
      <c r="B322" s="1"/>
      <c r="C322" s="23"/>
      <c r="D322" s="2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5.75" customHeight="1">
      <c r="A323" s="23"/>
      <c r="B323" s="1"/>
      <c r="C323" s="23"/>
      <c r="D323" s="2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5.75" customHeight="1">
      <c r="A324" s="23"/>
      <c r="B324" s="1"/>
      <c r="C324" s="23"/>
      <c r="D324" s="2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5.75" customHeight="1">
      <c r="A325" s="23"/>
      <c r="B325" s="1"/>
      <c r="C325" s="23"/>
      <c r="D325" s="2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5.75" customHeight="1">
      <c r="A326" s="23"/>
      <c r="B326" s="1"/>
      <c r="C326" s="23"/>
      <c r="D326" s="2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5.75" customHeight="1">
      <c r="A327" s="23"/>
      <c r="B327" s="1"/>
      <c r="C327" s="23"/>
      <c r="D327" s="2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5.75" customHeight="1">
      <c r="A328" s="23"/>
      <c r="B328" s="1"/>
      <c r="C328" s="23"/>
      <c r="D328" s="2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5.75" customHeight="1">
      <c r="A329" s="23"/>
      <c r="B329" s="1"/>
      <c r="C329" s="23"/>
      <c r="D329" s="2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5.75" customHeight="1">
      <c r="A330" s="23"/>
      <c r="B330" s="1"/>
      <c r="C330" s="23"/>
      <c r="D330" s="2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5.75" customHeight="1">
      <c r="A331" s="23"/>
      <c r="B331" s="1"/>
      <c r="C331" s="23"/>
      <c r="D331" s="2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5.75" customHeight="1">
      <c r="A332" s="23"/>
      <c r="B332" s="1"/>
      <c r="C332" s="23"/>
      <c r="D332" s="2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5.75" customHeight="1">
      <c r="A333" s="23"/>
      <c r="B333" s="1"/>
      <c r="C333" s="23"/>
      <c r="D333" s="2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5.75" customHeight="1">
      <c r="A334" s="23"/>
      <c r="B334" s="1"/>
      <c r="C334" s="23"/>
      <c r="D334" s="2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5.75" customHeight="1">
      <c r="A335" s="23"/>
      <c r="B335" s="1"/>
      <c r="C335" s="23"/>
      <c r="D335" s="2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5.75" customHeight="1">
      <c r="A336" s="23"/>
      <c r="B336" s="1"/>
      <c r="C336" s="23"/>
      <c r="D336" s="2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5.75" customHeight="1">
      <c r="A337" s="23"/>
      <c r="B337" s="1"/>
      <c r="C337" s="23"/>
      <c r="D337" s="2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5.75" customHeight="1">
      <c r="A338" s="23"/>
      <c r="B338" s="1"/>
      <c r="C338" s="23"/>
      <c r="D338" s="2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5.75" customHeight="1">
      <c r="A339" s="23"/>
      <c r="B339" s="1"/>
      <c r="C339" s="23"/>
      <c r="D339" s="2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5.75" customHeight="1">
      <c r="A340" s="23"/>
      <c r="B340" s="1"/>
      <c r="C340" s="23"/>
      <c r="D340" s="2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5.75" customHeight="1">
      <c r="A341" s="23"/>
      <c r="B341" s="1"/>
      <c r="C341" s="23"/>
      <c r="D341" s="2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5.75" customHeight="1">
      <c r="A342" s="23"/>
      <c r="B342" s="1"/>
      <c r="C342" s="23"/>
      <c r="D342" s="2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5.75" customHeight="1">
      <c r="A343" s="23"/>
      <c r="B343" s="1"/>
      <c r="C343" s="23"/>
      <c r="D343" s="2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5.75" customHeight="1">
      <c r="A344" s="23"/>
      <c r="B344" s="1"/>
      <c r="C344" s="23"/>
      <c r="D344" s="2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5.75" customHeight="1">
      <c r="A345" s="23"/>
      <c r="B345" s="1"/>
      <c r="C345" s="23"/>
      <c r="D345" s="2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5.75" customHeight="1">
      <c r="A346" s="23"/>
      <c r="B346" s="1"/>
      <c r="C346" s="23"/>
      <c r="D346" s="2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5.75" customHeight="1">
      <c r="A347" s="23"/>
      <c r="B347" s="1"/>
      <c r="C347" s="23"/>
      <c r="D347" s="2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">
    <mergeCell ref="Q2:U2"/>
    <mergeCell ref="W2:AA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outlinePr summaryBelow="0" summaryRight="0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3.38"/>
    <col customWidth="1" min="2" max="2" width="50.0"/>
    <col customWidth="1" min="3" max="3" width="20.13"/>
    <col customWidth="1" min="4" max="4" width="3.38"/>
    <col customWidth="1" min="5" max="10" width="11.38"/>
    <col customWidth="1" min="11" max="11" width="13.88"/>
    <col customWidth="1" min="12" max="16" width="11.38"/>
  </cols>
  <sheetData>
    <row r="1" ht="15.75" customHeight="1">
      <c r="A1" s="23"/>
      <c r="B1" s="1"/>
      <c r="C1" s="1"/>
      <c r="D1" s="23"/>
      <c r="E1" s="28"/>
      <c r="F1" s="28"/>
      <c r="G1" s="28"/>
      <c r="H1" s="28"/>
      <c r="I1" s="28"/>
      <c r="J1" s="2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3"/>
      <c r="B2" s="26" t="s">
        <v>2</v>
      </c>
      <c r="C2" s="26"/>
      <c r="D2" s="23"/>
      <c r="E2" s="28"/>
      <c r="F2" s="28"/>
      <c r="G2" s="28"/>
      <c r="H2" s="28"/>
      <c r="I2" s="28"/>
      <c r="J2" s="2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3"/>
      <c r="B3" s="36" t="s">
        <v>126</v>
      </c>
      <c r="C3" s="36"/>
      <c r="D3" s="2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3"/>
      <c r="B4" s="36"/>
      <c r="C4" s="49"/>
      <c r="D4" s="23"/>
      <c r="E4" s="37">
        <v>2019.0</v>
      </c>
      <c r="F4" s="37">
        <v>2020.0</v>
      </c>
      <c r="G4" s="37">
        <v>2021.0</v>
      </c>
      <c r="H4" s="37">
        <v>2022.0</v>
      </c>
      <c r="I4" s="37">
        <v>2023.0</v>
      </c>
      <c r="J4" s="37">
        <v>2024.0</v>
      </c>
      <c r="K4" s="152">
        <v>2025.0</v>
      </c>
      <c r="L4" s="152">
        <v>2026.0</v>
      </c>
      <c r="M4" s="152">
        <v>2027.0</v>
      </c>
      <c r="N4" s="152">
        <v>2028.0</v>
      </c>
      <c r="O4" s="152">
        <v>2029.0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3"/>
      <c r="B5" s="1"/>
      <c r="C5" s="153" t="s">
        <v>29</v>
      </c>
      <c r="D5" s="23"/>
      <c r="E5" s="50" t="s">
        <v>30</v>
      </c>
      <c r="F5" s="50" t="s">
        <v>30</v>
      </c>
      <c r="G5" s="50" t="s">
        <v>30</v>
      </c>
      <c r="H5" s="50" t="s">
        <v>30</v>
      </c>
      <c r="I5" s="50" t="s">
        <v>30</v>
      </c>
      <c r="J5" s="50" t="s">
        <v>30</v>
      </c>
      <c r="K5" s="50" t="s">
        <v>31</v>
      </c>
      <c r="L5" s="50" t="s">
        <v>31</v>
      </c>
      <c r="M5" s="50" t="s">
        <v>31</v>
      </c>
      <c r="N5" s="50" t="s">
        <v>31</v>
      </c>
      <c r="O5" s="50" t="s">
        <v>31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3" t="s">
        <v>33</v>
      </c>
      <c r="B6" s="57" t="s">
        <v>127</v>
      </c>
      <c r="C6" s="58"/>
      <c r="D6" s="58"/>
      <c r="E6" s="57"/>
      <c r="F6" s="57"/>
      <c r="G6" s="57"/>
      <c r="H6" s="57"/>
      <c r="I6" s="57"/>
      <c r="J6" s="57"/>
      <c r="K6" s="59"/>
      <c r="L6" s="59"/>
      <c r="M6" s="59"/>
      <c r="N6" s="59"/>
      <c r="O6" s="5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3"/>
      <c r="B7" s="154" t="s">
        <v>128</v>
      </c>
      <c r="C7" s="153" t="s">
        <v>32</v>
      </c>
      <c r="D7" s="61"/>
      <c r="E7" s="155">
        <f>Buildup!E9</f>
        <v>0.1662139009</v>
      </c>
      <c r="F7" s="155">
        <f>Buildup!F9</f>
        <v>0.04146458525</v>
      </c>
      <c r="G7" s="155">
        <f>Buildup!G9</f>
        <v>0.3001582037</v>
      </c>
      <c r="H7" s="155">
        <f>Buildup!H9</f>
        <v>0.1981811607</v>
      </c>
      <c r="I7" s="155">
        <f>Buildup!I9</f>
        <v>0.1784412843</v>
      </c>
      <c r="J7" s="155">
        <f>Buildup!J9</f>
        <v>0.2716577774</v>
      </c>
      <c r="K7" s="156">
        <f>Buildup!K9</f>
        <v>0.3800331617</v>
      </c>
      <c r="L7" s="155">
        <f>Buildup!L9</f>
        <v>0.3878527231</v>
      </c>
      <c r="M7" s="155">
        <f>Buildup!M9</f>
        <v>0.3873984407</v>
      </c>
      <c r="N7" s="155">
        <f>Buildup!N9</f>
        <v>0.3853301194</v>
      </c>
      <c r="O7" s="155">
        <f>Buildup!O9</f>
        <v>0.3857887471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3"/>
      <c r="B8" s="154" t="s">
        <v>129</v>
      </c>
      <c r="C8" s="153" t="s">
        <v>32</v>
      </c>
      <c r="D8" s="61"/>
      <c r="E8" s="155">
        <f>Buildup!E22</f>
        <v>0.3092412632</v>
      </c>
      <c r="F8" s="155">
        <f>Buildup!F22</f>
        <v>0.1314978085</v>
      </c>
      <c r="G8" s="155">
        <f>Buildup!G22</f>
        <v>0.4021691937</v>
      </c>
      <c r="H8" s="155">
        <f>Buildup!H22</f>
        <v>0.1417027414</v>
      </c>
      <c r="I8" s="155">
        <f>Buildup!I22</f>
        <v>0.2578412522</v>
      </c>
      <c r="J8" s="155">
        <f>Buildup!J22</f>
        <v>0.5054277835</v>
      </c>
      <c r="K8" s="157">
        <f>Buildup!K22</f>
        <v>0.3965423235</v>
      </c>
      <c r="L8" s="158">
        <f>Buildup!L20</f>
        <v>73.11945135</v>
      </c>
      <c r="M8" s="158">
        <f>Buildup!M20</f>
        <v>82.14670329</v>
      </c>
      <c r="N8" s="158">
        <f>Buildup!N20</f>
        <v>84.33760291</v>
      </c>
      <c r="O8" s="158">
        <f>Buildup!O20</f>
        <v>86.19128854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3"/>
      <c r="B9" s="78" t="s">
        <v>130</v>
      </c>
      <c r="C9" s="153" t="s">
        <v>32</v>
      </c>
      <c r="K9" s="157">
        <f>Buildup!K18</f>
        <v>0.3197640892</v>
      </c>
      <c r="L9" s="157">
        <f>Buildup!L18</f>
        <v>0.3258318041</v>
      </c>
      <c r="M9" s="157">
        <f>Buildup!M18</f>
        <v>0.3265290469</v>
      </c>
      <c r="N9" s="157">
        <f>Buildup!N18</f>
        <v>0.3243983654</v>
      </c>
      <c r="O9" s="157">
        <f>Buildup!O18</f>
        <v>0.3259370243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3"/>
      <c r="B10" s="154" t="s">
        <v>131</v>
      </c>
      <c r="C10" s="153" t="s">
        <v>32</v>
      </c>
      <c r="D10" s="61"/>
      <c r="E10" s="155">
        <f>Buildup!E30</f>
        <v>-0.0945805282</v>
      </c>
      <c r="F10" s="155">
        <f>Buildup!F30</f>
        <v>-0.280953706</v>
      </c>
      <c r="G10" s="155">
        <f>Buildup!G30</f>
        <v>0.0425368493</v>
      </c>
      <c r="H10" s="155">
        <f>Buildup!H30</f>
        <v>-0.08586662406</v>
      </c>
      <c r="I10" s="155">
        <f>Buildup!I30</f>
        <v>-0.01130467474</v>
      </c>
      <c r="J10" s="155">
        <f>Buildup!J30</f>
        <v>0.1427693929</v>
      </c>
      <c r="K10" s="157">
        <f>Buildup!K30</f>
        <v>0.314236922</v>
      </c>
      <c r="L10" s="157">
        <f>Buildup!L30</f>
        <v>0.309564391</v>
      </c>
      <c r="M10" s="157">
        <f>Buildup!M30</f>
        <v>0.3216510257</v>
      </c>
      <c r="N10" s="157">
        <f>Buildup!N30</f>
        <v>0.336222083</v>
      </c>
      <c r="O10" s="157">
        <f>Buildup!O30</f>
        <v>0.3374542589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3"/>
      <c r="B11" s="154" t="s">
        <v>132</v>
      </c>
      <c r="C11" s="153" t="s">
        <v>32</v>
      </c>
      <c r="D11" s="61"/>
      <c r="E11" s="155">
        <f>Buildup!E118/Buildup!E21</f>
        <v>1.930979147</v>
      </c>
      <c r="F11" s="155">
        <f>Buildup!F118/Buildup!F21</f>
        <v>3.293994007</v>
      </c>
      <c r="G11" s="155">
        <f>Buildup!G118/Buildup!G21</f>
        <v>0.8464162465</v>
      </c>
      <c r="H11" s="155">
        <f>Buildup!H118/Buildup!H21</f>
        <v>0.8492177126</v>
      </c>
      <c r="I11" s="155">
        <f>Buildup!I118/Buildup!I21</f>
        <v>0.4907947439</v>
      </c>
      <c r="J11" s="155">
        <f>Buildup!J118/Buildup!J21</f>
        <v>0.5768362466</v>
      </c>
      <c r="K11" s="157">
        <f>Buildup!K118/Buildup!K21</f>
        <v>0.9782641188</v>
      </c>
      <c r="L11" s="157">
        <f>Buildup!L118/Buildup!L21</f>
        <v>1.010976917</v>
      </c>
      <c r="M11" s="157">
        <f>Buildup!M118/Buildup!M21</f>
        <v>1.015831686</v>
      </c>
      <c r="N11" s="157">
        <f>Buildup!N118/Buildup!N21</f>
        <v>1.517914282</v>
      </c>
      <c r="O11" s="157">
        <f>Buildup!O118/Buildup!O21</f>
        <v>0.5731238518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3"/>
      <c r="B12" s="154" t="s">
        <v>133</v>
      </c>
      <c r="C12" s="153" t="s">
        <v>32</v>
      </c>
      <c r="E12" s="159">
        <f>E27/Buildup!E6</f>
        <v>0.5971384307</v>
      </c>
      <c r="F12" s="159">
        <f>F27/Buildup!F6</f>
        <v>0.433152993</v>
      </c>
      <c r="G12" s="159">
        <f>G27/Buildup!G6</f>
        <v>0.3404025394</v>
      </c>
      <c r="H12" s="159">
        <f>H27/Buildup!H6</f>
        <v>0.1203364779</v>
      </c>
      <c r="I12" s="159">
        <f>I27/Buildup!I6</f>
        <v>0.1265471313</v>
      </c>
      <c r="J12" s="159">
        <f>J27/Buildup!J6</f>
        <v>0.2915490656</v>
      </c>
      <c r="K12" s="160">
        <f>Buildup!K118/Buildup!K6</f>
        <v>0.3879231267</v>
      </c>
      <c r="L12" s="160">
        <f>Buildup!L118/Buildup!L6</f>
        <v>0.3987784828</v>
      </c>
      <c r="M12" s="160">
        <f>Buildup!M118/Buildup!M6</f>
        <v>0.4022472454</v>
      </c>
      <c r="N12" s="160">
        <f>Buildup!N118/Buildup!N6</f>
        <v>0.6006383937</v>
      </c>
      <c r="O12" s="160">
        <f>Buildup!O118/Buildup!O6</f>
        <v>0.2272485327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3"/>
      <c r="B13" s="154" t="s">
        <v>134</v>
      </c>
      <c r="C13" s="153" t="s">
        <v>32</v>
      </c>
      <c r="D13" s="61"/>
      <c r="E13" s="155"/>
      <c r="F13" s="155">
        <f>Buildup!F17/AVERAGE(Buildup!E53:F53)</f>
        <v>-0.04491887764</v>
      </c>
      <c r="G13" s="155">
        <f>Buildup!G17/AVERAGE(Buildup!F53:G53)</f>
        <v>0.07181476199</v>
      </c>
      <c r="H13" s="155">
        <f>Buildup!H17/AVERAGE(Buildup!G53:H53)</f>
        <v>-0.02870435853</v>
      </c>
      <c r="I13" s="155">
        <f>Buildup!I17/AVERAGE(Buildup!H53:I53)</f>
        <v>0.01068847744</v>
      </c>
      <c r="J13" s="155">
        <f>Buildup!J17/AVERAGE(Buildup!I53:J53)</f>
        <v>0.156356255</v>
      </c>
      <c r="K13" s="157">
        <f>Buildup!K17/AVERAGE(Buildup!J53:K53)</f>
        <v>0.1554099414</v>
      </c>
      <c r="L13" s="157">
        <f>Buildup!L17/AVERAGE(Buildup!K53:L53)</f>
        <v>0.1670619316</v>
      </c>
      <c r="M13" s="157">
        <f>Buildup!M17/AVERAGE(Buildup!L53:M53)</f>
        <v>0.1646752361</v>
      </c>
      <c r="N13" s="157">
        <f>Buildup!N17/AVERAGE(Buildup!M53:N53)</f>
        <v>0.1401336255</v>
      </c>
      <c r="O13" s="157">
        <f>Buildup!O17/AVERAGE(Buildup!N53:O53)</f>
        <v>0.1319696508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3"/>
      <c r="B14" s="154" t="s">
        <v>135</v>
      </c>
      <c r="C14" s="153" t="s">
        <v>32</v>
      </c>
      <c r="D14" s="61"/>
      <c r="E14" s="161"/>
      <c r="F14" s="155">
        <f>Buildup!F29/AVERAGE(Buildup!E83:F83)</f>
        <v>-0.3046463828</v>
      </c>
      <c r="G14" s="155">
        <f>Buildup!G29/AVERAGE(Buildup!F83:G83)</f>
        <v>0.09128788399</v>
      </c>
      <c r="H14" s="155">
        <f>Buildup!H29/AVERAGE(Buildup!G83:H83)</f>
        <v>-0.1963462417</v>
      </c>
      <c r="I14" s="155">
        <f>Buildup!I29/AVERAGE(Buildup!H83:I83)</f>
        <v>-0.02698286778</v>
      </c>
      <c r="J14" s="155">
        <f>Buildup!J29/AVERAGE(Buildup!I83:J83)</f>
        <v>0.3368136402</v>
      </c>
      <c r="K14" s="157">
        <f>Buildup!K29/AVERAGE(Buildup!J83:K83)</f>
        <v>0.487404476</v>
      </c>
      <c r="L14" s="157">
        <f>Buildup!L29/AVERAGE(Buildup!K83:L83)</f>
        <v>0.3647276554</v>
      </c>
      <c r="M14" s="157">
        <f>Buildup!M29/AVERAGE(Buildup!L83:M83)</f>
        <v>0.3020431079</v>
      </c>
      <c r="N14" s="157">
        <f>Buildup!N29/AVERAGE(Buildup!M83:N83)</f>
        <v>0.2412175468</v>
      </c>
      <c r="O14" s="157">
        <f>Buildup!O29/AVERAGE(Buildup!N83:O83)</f>
        <v>0.2006918699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3"/>
      <c r="K15" s="157"/>
      <c r="L15" s="162"/>
      <c r="M15" s="162"/>
      <c r="N15" s="162"/>
      <c r="O15" s="16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3"/>
      <c r="B16" s="59"/>
      <c r="C16" s="61"/>
      <c r="D16" s="61"/>
      <c r="E16" s="59"/>
      <c r="F16" s="59"/>
      <c r="G16" s="59"/>
      <c r="H16" s="59"/>
      <c r="I16" s="59"/>
      <c r="J16" s="59"/>
      <c r="K16" s="163"/>
      <c r="L16" s="59"/>
      <c r="M16" s="59"/>
      <c r="N16" s="59"/>
      <c r="O16" s="5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3" t="s">
        <v>33</v>
      </c>
      <c r="B17" s="57" t="s">
        <v>136</v>
      </c>
      <c r="C17" s="58"/>
      <c r="D17" s="58"/>
      <c r="E17" s="57"/>
      <c r="F17" s="57"/>
      <c r="G17" s="57"/>
      <c r="H17" s="57"/>
      <c r="I17" s="57"/>
      <c r="J17" s="57"/>
      <c r="K17" s="164"/>
      <c r="L17" s="59"/>
      <c r="M17" s="59"/>
      <c r="N17" s="59"/>
      <c r="O17" s="5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3"/>
      <c r="B18" s="154" t="s">
        <v>137</v>
      </c>
      <c r="C18" s="153" t="s">
        <v>33</v>
      </c>
      <c r="D18" s="61"/>
      <c r="E18" s="165">
        <f>Buildup!E42/Buildup!E64</f>
        <v>0.6933643011</v>
      </c>
      <c r="F18" s="165">
        <f>Buildup!F42/Buildup!F64</f>
        <v>0.8382975328</v>
      </c>
      <c r="G18" s="165">
        <f>Buildup!G42/Buildup!G64</f>
        <v>0.5176452511</v>
      </c>
      <c r="H18" s="165">
        <f>Buildup!H42/Buildup!H64</f>
        <v>0.6223438586</v>
      </c>
      <c r="I18" s="165">
        <f>Buildup!I42/Buildup!I64</f>
        <v>0.4725188082</v>
      </c>
      <c r="J18" s="165">
        <f>Buildup!J42/Buildup!J64</f>
        <v>0.9232932905</v>
      </c>
      <c r="K18" s="166">
        <f>Buildup!K42/Buildup!K64</f>
        <v>0.9378415698</v>
      </c>
      <c r="L18" s="166">
        <f>Buildup!L42/Buildup!L64</f>
        <v>1.180390124</v>
      </c>
      <c r="M18" s="166">
        <f>Buildup!M42/Buildup!M64</f>
        <v>1.436337805</v>
      </c>
      <c r="N18" s="166">
        <f>Buildup!N42/Buildup!N64</f>
        <v>1.476529181</v>
      </c>
      <c r="O18" s="166">
        <f>Buildup!O42/Buildup!O64</f>
        <v>3.063873981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3"/>
      <c r="B19" s="154" t="s">
        <v>138</v>
      </c>
      <c r="C19" s="153" t="s">
        <v>33</v>
      </c>
      <c r="D19" s="61"/>
      <c r="E19" s="167">
        <f>(Buildup!E42-Buildup!E40)/Buildup!E64</f>
        <v>0.6402761066</v>
      </c>
      <c r="F19" s="167">
        <f>(Buildup!F42-Buildup!F40)/Buildup!F64</f>
        <v>0.6645595775</v>
      </c>
      <c r="G19" s="167">
        <f>(Buildup!G42-Buildup!G40)/Buildup!G64</f>
        <v>0.4384012377</v>
      </c>
      <c r="H19" s="167">
        <f>(Buildup!H42-Buildup!H40)/Buildup!H64</f>
        <v>0.4641928183</v>
      </c>
      <c r="I19" s="167">
        <f>(Buildup!I42-Buildup!I40)/Buildup!I64</f>
        <v>0.3627599119</v>
      </c>
      <c r="J19" s="167">
        <f>(Buildup!J42-Buildup!J40)/Buildup!J64</f>
        <v>0.8044448746</v>
      </c>
      <c r="K19" s="166">
        <f>(Buildup!K42-Buildup!K40)/Buildup!K64</f>
        <v>0.7934505241</v>
      </c>
      <c r="L19" s="166">
        <f>(Buildup!L42-Buildup!L40)/Buildup!L64</f>
        <v>1.031361702</v>
      </c>
      <c r="M19" s="166">
        <f>(Buildup!M42-Buildup!M40)/Buildup!M64</f>
        <v>1.284737284</v>
      </c>
      <c r="N19" s="166">
        <f>(Buildup!N42-Buildup!N40)/Buildup!N64</f>
        <v>1.381063772</v>
      </c>
      <c r="O19" s="166">
        <f>(Buildup!O42-Buildup!O40)/Buildup!O64</f>
        <v>2.841527794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3"/>
      <c r="K20" s="168"/>
      <c r="L20" s="168"/>
      <c r="M20" s="168"/>
      <c r="N20" s="168"/>
      <c r="O20" s="16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3"/>
      <c r="B21" s="154" t="s">
        <v>139</v>
      </c>
      <c r="C21" s="153" t="s">
        <v>140</v>
      </c>
      <c r="D21" s="61" t="s">
        <v>141</v>
      </c>
      <c r="E21" s="169">
        <f>Buildup!E37+Buildup!E40-Buildup!E59</f>
        <v>-105.307</v>
      </c>
      <c r="F21" s="169">
        <f>Buildup!F37+Buildup!F40-Buildup!F59</f>
        <v>-132.898</v>
      </c>
      <c r="G21" s="169">
        <f>Buildup!G37+Buildup!G40-Buildup!G59</f>
        <v>-126.063</v>
      </c>
      <c r="H21" s="169">
        <f>Buildup!H37+Buildup!H40-Buildup!H59</f>
        <v>-165.56</v>
      </c>
      <c r="I21" s="169">
        <f>Buildup!I37+Buildup!I40-Buildup!I59</f>
        <v>-173.592</v>
      </c>
      <c r="J21" s="169">
        <f>Buildup!J37+Buildup!J40-Buildup!J59</f>
        <v>-118.164</v>
      </c>
      <c r="K21" s="170">
        <f>Buildup!K37+Buildup!K40-Buildup!K59</f>
        <v>-138.8103985</v>
      </c>
      <c r="L21" s="170">
        <f>Buildup!L37+Buildup!L40-Buildup!L59</f>
        <v>-160.384988</v>
      </c>
      <c r="M21" s="170">
        <f>Buildup!M37+Buildup!M40-Buildup!M59</f>
        <v>-178.0264285</v>
      </c>
      <c r="N21" s="170">
        <f>Buildup!N37+Buildup!N40-Buildup!N59</f>
        <v>-407.2005285</v>
      </c>
      <c r="O21" s="170">
        <f>Buildup!O37+Buildup!O40-Buildup!O59</f>
        <v>-183.8210129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3"/>
      <c r="B22" s="171" t="s">
        <v>142</v>
      </c>
      <c r="C22" s="153" t="s">
        <v>143</v>
      </c>
      <c r="D22" s="61"/>
      <c r="E22" s="172">
        <f>(Buildup!E37/Buildup!E6)*365</f>
        <v>17.74936187</v>
      </c>
      <c r="F22" s="172">
        <f>(Buildup!F37/Buildup!F6)*365</f>
        <v>19.6184373</v>
      </c>
      <c r="G22" s="172">
        <f>(Buildup!G37/Buildup!G6)*365</f>
        <v>17.0569736</v>
      </c>
      <c r="H22" s="172">
        <f>(Buildup!H37/Buildup!H6)*365</f>
        <v>10.96842524</v>
      </c>
      <c r="I22" s="172">
        <f>(Buildup!I37/Buildup!I6)*365</f>
        <v>8.39707571</v>
      </c>
      <c r="J22" s="172">
        <f>(Buildup!J37/Buildup!J6)*365</f>
        <v>12.7213304</v>
      </c>
      <c r="K22" s="173">
        <f>(Buildup!K37/Buildup!K6)*365</f>
        <v>10.69561045</v>
      </c>
      <c r="L22" s="174">
        <v>10.7</v>
      </c>
      <c r="M22" s="173">
        <f>(Buildup!M37/Buildup!M6)*365</f>
        <v>10.69561045</v>
      </c>
      <c r="N22" s="173">
        <f>(Buildup!N37/Buildup!N6)*365</f>
        <v>10.69561045</v>
      </c>
      <c r="O22" s="173">
        <f>(Buildup!O37/Buildup!O6)*365</f>
        <v>10.69561045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3"/>
      <c r="B23" s="171" t="s">
        <v>144</v>
      </c>
      <c r="C23" s="153" t="s">
        <v>143</v>
      </c>
      <c r="D23" s="61"/>
      <c r="E23" s="172">
        <f>-Buildup!E40/Buildup!E7*365</f>
        <v>21.61146641</v>
      </c>
      <c r="F23" s="172">
        <f>-Buildup!F40/Buildup!F7*365</f>
        <v>43.35133245</v>
      </c>
      <c r="G23" s="172">
        <f>-Buildup!G40/Buildup!G7*365</f>
        <v>33.28464661</v>
      </c>
      <c r="H23" s="172">
        <f>-Buildup!H40/Buildup!H7*365</f>
        <v>27.32105703</v>
      </c>
      <c r="I23" s="172">
        <f>-Buildup!I40/Buildup!I7*365</f>
        <v>24.30207427</v>
      </c>
      <c r="J23" s="172">
        <f>-Buildup!J40/Buildup!J7*365</f>
        <v>19.8624762</v>
      </c>
      <c r="K23" s="175">
        <f>-Buildup!K40/Buildup!K7*365</f>
        <v>30.29129718</v>
      </c>
      <c r="L23" s="175">
        <f>-Buildup!L40/Buildup!L7*365</f>
        <v>30.67823782</v>
      </c>
      <c r="M23" s="175">
        <f>-Buildup!M40/Buildup!M7*365</f>
        <v>30.65548798</v>
      </c>
      <c r="N23" s="175">
        <f>-Buildup!N40/Buildup!N7*365</f>
        <v>30.55233441</v>
      </c>
      <c r="O23" s="175">
        <f>-Buildup!O40/Buildup!O7*365</f>
        <v>30.57514764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3"/>
      <c r="B24" s="171" t="s">
        <v>145</v>
      </c>
      <c r="C24" s="153" t="s">
        <v>143</v>
      </c>
      <c r="D24" s="61"/>
      <c r="E24" s="172">
        <f>-Buildup!E59/Buildup!E7*365</f>
        <v>104.8958846</v>
      </c>
      <c r="F24" s="172">
        <f>-Buildup!F59/Buildup!F7*365</f>
        <v>158.3264818</v>
      </c>
      <c r="G24" s="172">
        <f>-Buildup!G59/Buildup!G7*365</f>
        <v>127.7957063</v>
      </c>
      <c r="H24" s="172">
        <f>-Buildup!H59/Buildup!H7*365</f>
        <v>120.2269113</v>
      </c>
      <c r="I24" s="172">
        <f>-Buildup!I59/Buildup!I7*365</f>
        <v>121.8565017</v>
      </c>
      <c r="J24" s="172">
        <f>-Buildup!J59/Buildup!J7*365</f>
        <v>98.97899192</v>
      </c>
      <c r="K24" s="175">
        <f>-Buildup!K59/Buildup!K7*365</f>
        <v>136.153863</v>
      </c>
      <c r="L24" s="175">
        <f>-Buildup!L59/Buildup!L7*365</f>
        <v>137.8930906</v>
      </c>
      <c r="M24" s="175">
        <f>-Buildup!M59/Buildup!M7*365</f>
        <v>137.7908343</v>
      </c>
      <c r="N24" s="175">
        <f>-Buildup!N59/Buildup!N7*365</f>
        <v>252.3790117</v>
      </c>
      <c r="O24" s="175">
        <f>-Buildup!O59/Buildup!O7*365</f>
        <v>137.4297191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3"/>
      <c r="B25" s="176" t="s">
        <v>146</v>
      </c>
      <c r="C25" s="177" t="s">
        <v>143</v>
      </c>
      <c r="D25" s="178"/>
      <c r="E25" s="179">
        <f>(Buildup!E46+Buildup!F46)*365/(2*Buildup!F7)+(Buildup!E37+Buildup!F37)*365/(2*Buildup!F6)-(Buildup!E59+Buildup!F59)*365/(2*Buildup!F7)</f>
        <v>162.1329202</v>
      </c>
      <c r="F25" s="179">
        <f>(Buildup!F46+Buildup!G46)*365/(2*Buildup!G7)+(Buildup!F37+Buildup!G37)*365/(2*Buildup!G6)-(Buildup!F59+Buildup!G59)*365/(2*Buildup!G7)</f>
        <v>136.1489754</v>
      </c>
      <c r="G25" s="179">
        <f>(Buildup!G46+Buildup!H46)*365/(2*Buildup!H7)+(Buildup!G37+Buildup!H37)*365/(2*Buildup!H6)-(Buildup!G59+Buildup!H59)*365/(2*Buildup!H7)</f>
        <v>125.8830323</v>
      </c>
      <c r="H25" s="179">
        <f>(Buildup!H46+Buildup!I46)*365/(2*Buildup!I7)+(Buildup!H37+Buildup!I37)*365/(2*Buildup!I6)-(Buildup!H59+Buildup!I59)*365/(2*Buildup!I7)</f>
        <v>131.2555671</v>
      </c>
      <c r="I25" s="179">
        <f>(Buildup!I46+Buildup!J46)*365/(2*Buildup!J7)+(Buildup!I37+Buildup!J37)*365/(2*Buildup!J6)-(Buildup!I59+Buildup!J59)*365/(2*Buildup!J7)</f>
        <v>120.0786894</v>
      </c>
      <c r="J25" s="179"/>
      <c r="K25" s="180">
        <f>(Buildup!K46+Buildup!L46)*365/(2*Buildup!L7)+(Buildup!K37+Buildup!L37)*365/(2*Buildup!L6)-(Buildup!K59+Buildup!L59)*365/(2*Buildup!L7)</f>
        <v>135.6963684</v>
      </c>
      <c r="L25" s="180">
        <f>(Buildup!L46+Buildup!M46)*365/(2*Buildup!M7)+(Buildup!L37+Buildup!M37)*365/(2*Buildup!M6)-(Buildup!L59+Buildup!M59)*365/(2*Buildup!M7)</f>
        <v>138.5200639</v>
      </c>
      <c r="M25" s="180">
        <f>(Buildup!M46+Buildup!N46)*365/(2*Buildup!N7)+(Buildup!M37+Buildup!N37)*365/(2*Buildup!N6)-(Buildup!M59+Buildup!N59)*365/(2*Buildup!N7)</f>
        <v>202.9481997</v>
      </c>
      <c r="N25" s="180">
        <f>(Buildup!N46+Buildup!O46)*365/(2*Buildup!O7)+(Buildup!N37+Buildup!O37)*365/(2*Buildup!O6)-(Buildup!N59+Buildup!O59)*365/(2*Buildup!O7)</f>
        <v>199.0243734</v>
      </c>
      <c r="O25" s="180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3"/>
      <c r="B26" s="171"/>
      <c r="C26" s="153"/>
      <c r="D26" s="61"/>
      <c r="E26" s="172"/>
      <c r="F26" s="172"/>
      <c r="G26" s="172"/>
      <c r="H26" s="172"/>
      <c r="I26" s="172"/>
      <c r="J26" s="172"/>
      <c r="K26" s="157"/>
      <c r="L26" s="157"/>
      <c r="M26" s="157"/>
      <c r="N26" s="157"/>
      <c r="O26" s="15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3"/>
      <c r="B27" s="171" t="s">
        <v>147</v>
      </c>
      <c r="C27" s="153" t="s">
        <v>36</v>
      </c>
      <c r="D27" s="61"/>
      <c r="E27" s="181">
        <f>Buildup!E118</f>
        <v>444.019</v>
      </c>
      <c r="F27" s="181">
        <f>Buildup!F118</f>
        <v>231.94</v>
      </c>
      <c r="G27" s="181">
        <f>Buildup!G118</f>
        <v>319.093</v>
      </c>
      <c r="H27" s="181">
        <f>Buildup!H118</f>
        <v>114.472</v>
      </c>
      <c r="I27" s="181">
        <f>Buildup!I118</f>
        <v>111.752</v>
      </c>
      <c r="J27" s="181">
        <f>Buildup!J118</f>
        <v>280.039</v>
      </c>
      <c r="K27" s="175">
        <f>Buildup!K118</f>
        <v>357.7718061</v>
      </c>
      <c r="L27" s="175">
        <f>Buildup!L118</f>
        <v>424.9461253</v>
      </c>
      <c r="M27" s="175">
        <f>Buildup!M118</f>
        <v>475.7907549</v>
      </c>
      <c r="N27" s="175">
        <f>Buildup!N118</f>
        <v>710.4540752</v>
      </c>
      <c r="O27" s="175">
        <f>Buildup!O118</f>
        <v>277.5458151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3"/>
      <c r="B28" s="171"/>
      <c r="C28" s="153"/>
      <c r="D28" s="61"/>
      <c r="E28" s="172"/>
      <c r="F28" s="172"/>
      <c r="G28" s="172"/>
      <c r="H28" s="172"/>
      <c r="I28" s="172"/>
      <c r="J28" s="172"/>
      <c r="K28" s="157"/>
      <c r="L28" s="157"/>
      <c r="M28" s="157"/>
      <c r="N28" s="157"/>
      <c r="O28" s="15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3" t="s">
        <v>33</v>
      </c>
      <c r="B29" s="57" t="s">
        <v>148</v>
      </c>
      <c r="C29" s="58"/>
      <c r="D29" s="58"/>
      <c r="E29" s="57"/>
      <c r="F29" s="57"/>
      <c r="G29" s="57"/>
      <c r="H29" s="57"/>
      <c r="I29" s="57"/>
      <c r="J29" s="57"/>
      <c r="K29" s="157"/>
      <c r="L29" s="157"/>
      <c r="M29" s="157"/>
      <c r="N29" s="157"/>
      <c r="O29" s="15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31"/>
      <c r="B30" s="182"/>
      <c r="C30" s="183"/>
      <c r="D30" s="183"/>
      <c r="E30" s="182"/>
      <c r="F30" s="182"/>
      <c r="G30" s="182"/>
      <c r="H30" s="182"/>
      <c r="I30" s="182"/>
      <c r="J30" s="182"/>
      <c r="K30" s="184"/>
      <c r="L30" s="184"/>
      <c r="M30" s="184"/>
      <c r="N30" s="184"/>
      <c r="O30" s="184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</row>
    <row r="31" ht="15.75" customHeight="1">
      <c r="A31" s="23"/>
      <c r="B31" s="186" t="s">
        <v>149</v>
      </c>
      <c r="C31" s="61"/>
      <c r="D31" s="61"/>
      <c r="E31" s="59"/>
      <c r="F31" s="59"/>
      <c r="G31" s="59"/>
      <c r="H31" s="59"/>
      <c r="I31" s="59"/>
      <c r="J31" s="59"/>
      <c r="K31" s="157"/>
      <c r="L31" s="157"/>
      <c r="M31" s="157"/>
      <c r="N31" s="157"/>
      <c r="O31" s="15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3"/>
      <c r="B32" s="154" t="s">
        <v>150</v>
      </c>
      <c r="C32" s="187" t="s">
        <v>33</v>
      </c>
      <c r="D32" s="187"/>
      <c r="E32" s="162"/>
      <c r="F32" s="167">
        <f>Buildup!F74/Buildup!F83</f>
        <v>3.972025875</v>
      </c>
      <c r="G32" s="167">
        <f>Buildup!G74/Buildup!G83</f>
        <v>3.741995809</v>
      </c>
      <c r="H32" s="167">
        <f>Buildup!H74/Buildup!H83</f>
        <v>4.264345829</v>
      </c>
      <c r="I32" s="167">
        <f>Buildup!I74/Buildup!I83</f>
        <v>4.143061673</v>
      </c>
      <c r="J32" s="167">
        <f>Buildup!J74/Buildup!J83</f>
        <v>3.093527212</v>
      </c>
      <c r="K32" s="166">
        <f>Buildup!K74/Buildup!K83</f>
        <v>1.642871562</v>
      </c>
      <c r="L32" s="166">
        <f>Buildup!L74/Buildup!L83</f>
        <v>1.059365737</v>
      </c>
      <c r="M32" s="166">
        <f>Buildup!M74/Buildup!M83</f>
        <v>0.7164095129</v>
      </c>
      <c r="N32" s="166">
        <f>Buildup!N74/Buildup!N83</f>
        <v>0.6171718463</v>
      </c>
      <c r="O32" s="166">
        <f>Buildup!O74/Buildup!O83</f>
        <v>0.3475623903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3"/>
      <c r="B33" s="154" t="s">
        <v>151</v>
      </c>
      <c r="C33" s="187" t="s">
        <v>32</v>
      </c>
      <c r="D33" s="187"/>
      <c r="E33" s="162"/>
      <c r="F33" s="167">
        <f>Buildup!F74/Buildup!F53</f>
        <v>0.7988747394</v>
      </c>
      <c r="G33" s="167">
        <f>Buildup!G74/Buildup!G53</f>
        <v>0.7890454552</v>
      </c>
      <c r="H33" s="167">
        <f>Buildup!H74/Buildup!H53</f>
        <v>0.8100838712</v>
      </c>
      <c r="I33" s="167">
        <f>Buildup!I74/Buildup!I53</f>
        <v>0.8055525484</v>
      </c>
      <c r="J33" s="167">
        <f>Buildup!J74/Buildup!J53</f>
        <v>0.7557221595</v>
      </c>
      <c r="K33" s="188">
        <f>Buildup!K74/Buildup!K53</f>
        <v>0.621623686</v>
      </c>
      <c r="L33" s="188">
        <f>Buildup!L74/Buildup!L53</f>
        <v>0.5144135974</v>
      </c>
      <c r="M33" s="188">
        <f>Buildup!M74/Buildup!M53</f>
        <v>0.4173884539</v>
      </c>
      <c r="N33" s="188">
        <f>Buildup!N74/Buildup!N53</f>
        <v>0.3816365266</v>
      </c>
      <c r="O33" s="188">
        <f>Buildup!O74/Buildup!O53</f>
        <v>0.2579193311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3"/>
      <c r="B34" s="154" t="s">
        <v>152</v>
      </c>
      <c r="C34" s="187" t="s">
        <v>33</v>
      </c>
      <c r="D34" s="187"/>
      <c r="E34" s="162"/>
      <c r="F34" s="167">
        <f>(Buildup!F57+Buildup!F67)/Buildup!F21</f>
        <v>13.14805505</v>
      </c>
      <c r="G34" s="167">
        <f>(Buildup!G57+Buildup!G67)/Buildup!G21</f>
        <v>2.484011639</v>
      </c>
      <c r="H34" s="167">
        <f>(Buildup!H57+Buildup!H67)/Buildup!H21</f>
        <v>6.019926259</v>
      </c>
      <c r="I34" s="167">
        <f>(Buildup!I57+Buildup!I67)/Buildup!I21</f>
        <v>3.530448493</v>
      </c>
      <c r="J34" s="167">
        <f>(Buildup!J57+Buildup!J67)/Buildup!J21</f>
        <v>1.544389607</v>
      </c>
      <c r="K34" s="166">
        <f>(Buildup!K57+Buildup!K67)/Buildup!K21</f>
        <v>1.750882341</v>
      </c>
      <c r="L34" s="166">
        <f>(Buildup!L57+Buildup!L67)/Buildup!L21</f>
        <v>1.249296443</v>
      </c>
      <c r="M34" s="166">
        <f>(Buildup!M57+Buildup!M67)/Buildup!M21</f>
        <v>0.8621489771</v>
      </c>
      <c r="N34" s="166">
        <f>(Buildup!N57+Buildup!N67)/Buildup!N21</f>
        <v>0.5898610928</v>
      </c>
      <c r="O34" s="166">
        <f>(Buildup!O57+Buildup!O67)/Buildup!O21</f>
        <v>0.2923961462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3"/>
      <c r="B35" s="36"/>
      <c r="C35" s="187"/>
      <c r="D35" s="187"/>
      <c r="E35" s="162"/>
      <c r="F35" s="167"/>
      <c r="G35" s="167"/>
      <c r="H35" s="167"/>
      <c r="I35" s="167"/>
      <c r="J35" s="167"/>
      <c r="K35" s="168"/>
      <c r="L35" s="168"/>
      <c r="M35" s="168"/>
      <c r="N35" s="168"/>
      <c r="O35" s="168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3"/>
      <c r="B36" s="186" t="s">
        <v>153</v>
      </c>
      <c r="C36" s="61"/>
      <c r="D36" s="61"/>
      <c r="E36" s="59"/>
      <c r="F36" s="189"/>
      <c r="G36" s="189"/>
      <c r="H36" s="189"/>
      <c r="I36" s="189"/>
      <c r="J36" s="189"/>
      <c r="K36" s="168"/>
      <c r="L36" s="168"/>
      <c r="M36" s="168"/>
      <c r="N36" s="168"/>
      <c r="O36" s="16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3"/>
      <c r="B37" s="154" t="s">
        <v>154</v>
      </c>
      <c r="C37" s="187" t="s">
        <v>33</v>
      </c>
      <c r="D37" s="187"/>
      <c r="E37" s="162"/>
      <c r="F37" s="167">
        <f>-Buildup!F21/Buildup!F25</f>
        <v>1.246843624</v>
      </c>
      <c r="G37" s="167">
        <f>-Buildup!G21/Buildup!G25</f>
        <v>6.120910523</v>
      </c>
      <c r="H37" s="167">
        <f>-Buildup!H21/Buildup!H25</f>
        <v>2.35972621</v>
      </c>
      <c r="I37" s="167">
        <f>-Buildup!I21/Buildup!I25</f>
        <v>3.228539829</v>
      </c>
      <c r="J37" s="167">
        <f>-Buildup!J21/Buildup!J25</f>
        <v>6.129257885</v>
      </c>
      <c r="K37" s="166">
        <f>-Buildup!K21/Buildup!K25</f>
        <v>9.220860902</v>
      </c>
      <c r="L37" s="166">
        <f>-Buildup!L21/Buildup!L25</f>
        <v>14.52934061</v>
      </c>
      <c r="M37" s="166">
        <f>-Buildup!M21/Buildup!M25</f>
        <v>24.07382747</v>
      </c>
      <c r="N37" s="166">
        <f>-Buildup!N21/Buildup!N25</f>
        <v>40.68204864</v>
      </c>
      <c r="O37" s="166">
        <f>-Buildup!O21/Buildup!O25</f>
        <v>90.04847185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3"/>
      <c r="B38" s="1" t="s">
        <v>155</v>
      </c>
      <c r="C38" s="187" t="s">
        <v>33</v>
      </c>
      <c r="D38" s="23"/>
      <c r="E38" s="1"/>
      <c r="F38" s="113">
        <f>Buildup!F21/(Buildup!F25+(Buildup!E57-Buildup!F53))</f>
        <v>-0.03696338833</v>
      </c>
      <c r="G38" s="113">
        <f>Buildup!G21/(Buildup!G25+(Buildup!F57-Buildup!G53))</f>
        <v>-0.1721330974</v>
      </c>
      <c r="H38" s="113">
        <f>Buildup!H21/(Buildup!H25+(Buildup!G57-Buildup!H53))</f>
        <v>-0.08521381051</v>
      </c>
      <c r="I38" s="113">
        <f>Buildup!I21/(Buildup!I25+(Buildup!H57-Buildup!I53))</f>
        <v>-0.1191499338</v>
      </c>
      <c r="J38" s="113">
        <f>Buildup!J21/(Buildup!J25+(Buildup!I57-Buildup!J53))</f>
        <v>-0.272171535</v>
      </c>
      <c r="K38" s="190">
        <f>Buildup!K21/(Buildup!K25+(Buildup!J57-Buildup!K53))</f>
        <v>-0.1872234452</v>
      </c>
      <c r="L38" s="190">
        <f>Buildup!L21/(Buildup!L25+(Buildup!K57-Buildup!L53))</f>
        <v>-0.1986468282</v>
      </c>
      <c r="M38" s="190">
        <f>Buildup!M21/(Buildup!M25+(Buildup!L57-Buildup!M53))</f>
        <v>-0.1962457998</v>
      </c>
      <c r="N38" s="190">
        <f>Buildup!N21/(Buildup!N25+(Buildup!M57-Buildup!N53))</f>
        <v>-0.162993132</v>
      </c>
      <c r="O38" s="190">
        <f>Buildup!O21/(Buildup!O25+(Buildup!N57-Buildup!O53))</f>
        <v>-0.1660750959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3"/>
      <c r="B39" s="1"/>
      <c r="C39" s="1"/>
      <c r="D39" s="23"/>
      <c r="E39" s="1"/>
      <c r="F39" s="71"/>
      <c r="G39" s="1"/>
      <c r="H39" s="1"/>
      <c r="I39" s="1"/>
      <c r="J39" s="1"/>
      <c r="K39" s="19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3" t="s">
        <v>33</v>
      </c>
      <c r="B40" s="149" t="s">
        <v>81</v>
      </c>
      <c r="C40" s="149"/>
      <c r="D40" s="150"/>
      <c r="E40" s="149"/>
      <c r="F40" s="149"/>
      <c r="G40" s="149"/>
      <c r="H40" s="149"/>
      <c r="I40" s="149"/>
      <c r="J40" s="149"/>
      <c r="K40" s="163"/>
      <c r="L40" s="59"/>
      <c r="M40" s="59"/>
      <c r="N40" s="59"/>
      <c r="O40" s="59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3"/>
      <c r="B41" s="1"/>
      <c r="C41" s="1"/>
      <c r="D41" s="2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3"/>
      <c r="B42" s="1"/>
      <c r="C42" s="1"/>
      <c r="D42" s="2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3"/>
      <c r="B43" s="1"/>
      <c r="C43" s="1"/>
      <c r="D43" s="2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3"/>
      <c r="B44" s="1"/>
      <c r="C44" s="1"/>
      <c r="D44" s="23"/>
      <c r="E44" s="16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3"/>
      <c r="B45" s="1"/>
      <c r="C45" s="1"/>
      <c r="D45" s="23"/>
      <c r="E45" s="1"/>
      <c r="F45" s="1"/>
      <c r="G45" s="19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3"/>
      <c r="B46" s="1"/>
      <c r="C46" s="1"/>
      <c r="D46" s="23"/>
      <c r="E46" s="1"/>
      <c r="F46" s="1"/>
      <c r="G46" s="19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3"/>
      <c r="B47" s="1"/>
      <c r="C47" s="1"/>
      <c r="D47" s="23"/>
      <c r="E47" s="1"/>
      <c r="F47" s="1"/>
      <c r="G47" s="19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3"/>
      <c r="B48" s="1"/>
      <c r="C48" s="1"/>
      <c r="D48" s="23"/>
      <c r="E48" s="1"/>
      <c r="F48" s="1"/>
      <c r="G48" s="15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3"/>
      <c r="B49" s="1"/>
      <c r="C49" s="1"/>
      <c r="D49" s="23"/>
      <c r="E49" s="1"/>
      <c r="F49" s="1"/>
      <c r="G49" s="19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3"/>
      <c r="B50" s="1"/>
      <c r="C50" s="1"/>
      <c r="D50" s="23"/>
      <c r="E50" s="1"/>
      <c r="F50" s="1"/>
      <c r="G50" s="19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3"/>
      <c r="B51" s="1"/>
      <c r="C51" s="1"/>
      <c r="D51" s="23"/>
      <c r="E51" s="1"/>
      <c r="F51" s="1"/>
      <c r="G51" s="19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3"/>
      <c r="B52" s="1"/>
      <c r="C52" s="1"/>
      <c r="D52" s="23"/>
      <c r="E52" s="1"/>
      <c r="F52" s="1"/>
      <c r="G52" s="19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3"/>
      <c r="B53" s="1"/>
      <c r="C53" s="1"/>
      <c r="D53" s="23"/>
      <c r="E53" s="1"/>
      <c r="F53" s="1"/>
      <c r="G53" s="19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3"/>
      <c r="B54" s="1"/>
      <c r="C54" s="1"/>
      <c r="D54" s="23"/>
      <c r="E54" s="1"/>
      <c r="F54" s="1"/>
      <c r="G54" s="19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3"/>
      <c r="B55" s="1"/>
      <c r="C55" s="1"/>
      <c r="D55" s="23"/>
      <c r="E55" s="1"/>
      <c r="F55" s="1"/>
      <c r="G55" s="19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3"/>
      <c r="B56" s="1"/>
      <c r="C56" s="1"/>
      <c r="D56" s="2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3"/>
      <c r="B57" s="1"/>
      <c r="C57" s="1"/>
      <c r="D57" s="2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3"/>
      <c r="B58" s="1"/>
      <c r="C58" s="1"/>
      <c r="D58" s="2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3"/>
      <c r="B59" s="1"/>
      <c r="C59" s="1"/>
      <c r="D59" s="2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3"/>
      <c r="B60" s="1"/>
      <c r="C60" s="1"/>
      <c r="D60" s="2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3"/>
      <c r="B61" s="1"/>
      <c r="C61" s="1"/>
      <c r="D61" s="2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3"/>
      <c r="B62" s="1"/>
      <c r="C62" s="1"/>
      <c r="D62" s="2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3"/>
      <c r="B63" s="1"/>
      <c r="C63" s="1"/>
      <c r="D63" s="2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3"/>
      <c r="B64" s="1"/>
      <c r="C64" s="1"/>
      <c r="D64" s="2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3"/>
      <c r="B65" s="1"/>
      <c r="C65" s="1"/>
      <c r="D65" s="2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3"/>
      <c r="B66" s="1"/>
      <c r="C66" s="1"/>
      <c r="D66" s="2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3"/>
      <c r="B67" s="1"/>
      <c r="C67" s="1"/>
      <c r="D67" s="2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3"/>
      <c r="B68" s="1"/>
      <c r="C68" s="1"/>
      <c r="D68" s="2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3"/>
      <c r="B69" s="1"/>
      <c r="C69" s="1"/>
      <c r="D69" s="2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3"/>
      <c r="B70" s="1"/>
      <c r="C70" s="1"/>
      <c r="D70" s="2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3"/>
      <c r="B71" s="1"/>
      <c r="C71" s="1"/>
      <c r="D71" s="2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3"/>
      <c r="B72" s="1"/>
      <c r="C72" s="1"/>
      <c r="D72" s="2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3"/>
      <c r="B73" s="1"/>
      <c r="C73" s="1"/>
      <c r="D73" s="2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3"/>
      <c r="B74" s="1"/>
      <c r="C74" s="1"/>
      <c r="D74" s="2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3"/>
      <c r="B75" s="1"/>
      <c r="C75" s="1"/>
      <c r="D75" s="2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3"/>
      <c r="B76" s="1"/>
      <c r="C76" s="1"/>
      <c r="D76" s="2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3"/>
      <c r="B77" s="1"/>
      <c r="C77" s="1"/>
      <c r="D77" s="2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3"/>
      <c r="B78" s="1"/>
      <c r="C78" s="1"/>
      <c r="D78" s="2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3"/>
      <c r="B79" s="1"/>
      <c r="C79" s="1"/>
      <c r="D79" s="2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3"/>
      <c r="B80" s="1"/>
      <c r="C80" s="1"/>
      <c r="D80" s="2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3"/>
      <c r="B81" s="1"/>
      <c r="C81" s="1"/>
      <c r="D81" s="2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3"/>
      <c r="B82" s="1"/>
      <c r="C82" s="1"/>
      <c r="D82" s="2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3"/>
      <c r="B83" s="1"/>
      <c r="C83" s="1"/>
      <c r="D83" s="2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3"/>
      <c r="B84" s="1"/>
      <c r="C84" s="1"/>
      <c r="D84" s="2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3"/>
      <c r="B85" s="1"/>
      <c r="C85" s="1"/>
      <c r="D85" s="2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3"/>
      <c r="B86" s="1"/>
      <c r="C86" s="1"/>
      <c r="D86" s="2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3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3"/>
      <c r="B88" s="1"/>
      <c r="C88" s="1"/>
      <c r="D88" s="2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3"/>
      <c r="B89" s="1"/>
      <c r="C89" s="1"/>
      <c r="D89" s="2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3"/>
      <c r="B90" s="1"/>
      <c r="C90" s="1"/>
      <c r="D90" s="2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3"/>
      <c r="B91" s="1"/>
      <c r="C91" s="1"/>
      <c r="D91" s="2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3"/>
      <c r="B92" s="1"/>
      <c r="C92" s="1"/>
      <c r="D92" s="2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3"/>
      <c r="B93" s="1"/>
      <c r="C93" s="1"/>
      <c r="D93" s="2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3"/>
      <c r="B94" s="1"/>
      <c r="C94" s="1"/>
      <c r="D94" s="2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3"/>
      <c r="B95" s="1"/>
      <c r="C95" s="1"/>
      <c r="D95" s="2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3"/>
      <c r="B96" s="1"/>
      <c r="C96" s="1"/>
      <c r="D96" s="2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3"/>
      <c r="B97" s="1"/>
      <c r="C97" s="1"/>
      <c r="D97" s="2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3"/>
      <c r="B98" s="1"/>
      <c r="C98" s="1"/>
      <c r="D98" s="2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3"/>
      <c r="B99" s="1"/>
      <c r="C99" s="1"/>
      <c r="D99" s="2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3"/>
      <c r="B100" s="1"/>
      <c r="C100" s="1"/>
      <c r="D100" s="2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3"/>
      <c r="B101" s="1"/>
      <c r="C101" s="1"/>
      <c r="D101" s="2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3"/>
      <c r="B102" s="1"/>
      <c r="C102" s="1"/>
      <c r="D102" s="2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3"/>
      <c r="B103" s="1"/>
      <c r="C103" s="1"/>
      <c r="D103" s="2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3"/>
      <c r="B104" s="1"/>
      <c r="C104" s="1"/>
      <c r="D104" s="2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3"/>
      <c r="B105" s="1"/>
      <c r="C105" s="1"/>
      <c r="D105" s="2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3"/>
      <c r="B106" s="1"/>
      <c r="C106" s="1"/>
      <c r="D106" s="2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3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3"/>
      <c r="B108" s="1"/>
      <c r="C108" s="1"/>
      <c r="D108" s="2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3"/>
      <c r="B109" s="1"/>
      <c r="C109" s="1"/>
      <c r="D109" s="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3"/>
      <c r="B110" s="1"/>
      <c r="C110" s="1"/>
      <c r="D110" s="2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3"/>
      <c r="B111" s="1"/>
      <c r="C111" s="1"/>
      <c r="D111" s="2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3"/>
      <c r="B112" s="1"/>
      <c r="C112" s="1"/>
      <c r="D112" s="2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3"/>
      <c r="B113" s="1"/>
      <c r="C113" s="1"/>
      <c r="D113" s="2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3"/>
      <c r="B114" s="1"/>
      <c r="C114" s="1"/>
      <c r="D114" s="2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3"/>
      <c r="B115" s="1"/>
      <c r="C115" s="1"/>
      <c r="D115" s="2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3"/>
      <c r="B116" s="1"/>
      <c r="C116" s="1"/>
      <c r="D116" s="2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3"/>
      <c r="B117" s="1"/>
      <c r="C117" s="1"/>
      <c r="D117" s="2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3"/>
      <c r="B118" s="1"/>
      <c r="C118" s="1"/>
      <c r="D118" s="2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3"/>
      <c r="B119" s="1"/>
      <c r="C119" s="1"/>
      <c r="D119" s="2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3"/>
      <c r="B120" s="1"/>
      <c r="C120" s="1"/>
      <c r="D120" s="2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3"/>
      <c r="B121" s="1"/>
      <c r="C121" s="1"/>
      <c r="D121" s="2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3"/>
      <c r="B122" s="1"/>
      <c r="C122" s="1"/>
      <c r="D122" s="2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3"/>
      <c r="B123" s="1"/>
      <c r="C123" s="1"/>
      <c r="D123" s="2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3"/>
      <c r="B124" s="1"/>
      <c r="C124" s="1"/>
      <c r="D124" s="2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3"/>
      <c r="B125" s="1"/>
      <c r="C125" s="1"/>
      <c r="D125" s="2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3"/>
      <c r="B126" s="1"/>
      <c r="C126" s="1"/>
      <c r="D126" s="2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3"/>
      <c r="B127" s="1"/>
      <c r="C127" s="1"/>
      <c r="D127" s="2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3"/>
      <c r="B128" s="1"/>
      <c r="C128" s="1"/>
      <c r="D128" s="2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3"/>
      <c r="B129" s="1"/>
      <c r="C129" s="1"/>
      <c r="D129" s="2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3"/>
      <c r="B130" s="1"/>
      <c r="C130" s="1"/>
      <c r="D130" s="2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3"/>
      <c r="B131" s="1"/>
      <c r="C131" s="1"/>
      <c r="D131" s="2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3"/>
      <c r="B132" s="1"/>
      <c r="C132" s="1"/>
      <c r="D132" s="2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3"/>
      <c r="B133" s="1"/>
      <c r="C133" s="1"/>
      <c r="D133" s="2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3"/>
      <c r="B134" s="1"/>
      <c r="C134" s="1"/>
      <c r="D134" s="2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3"/>
      <c r="B135" s="1"/>
      <c r="C135" s="1"/>
      <c r="D135" s="2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3"/>
      <c r="B136" s="1"/>
      <c r="C136" s="1"/>
      <c r="D136" s="2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3"/>
      <c r="B137" s="1"/>
      <c r="C137" s="1"/>
      <c r="D137" s="2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3"/>
      <c r="B138" s="1"/>
      <c r="C138" s="1"/>
      <c r="D138" s="2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3"/>
      <c r="B139" s="1"/>
      <c r="C139" s="1"/>
      <c r="D139" s="2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3"/>
      <c r="B140" s="1"/>
      <c r="C140" s="1"/>
      <c r="D140" s="2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3"/>
      <c r="B141" s="1"/>
      <c r="C141" s="1"/>
      <c r="D141" s="2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3"/>
      <c r="B142" s="1"/>
      <c r="C142" s="1"/>
      <c r="D142" s="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3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3"/>
      <c r="B144" s="1"/>
      <c r="C144" s="1"/>
      <c r="D144" s="2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3"/>
      <c r="B145" s="1"/>
      <c r="C145" s="1"/>
      <c r="D145" s="2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3"/>
      <c r="B146" s="1"/>
      <c r="C146" s="1"/>
      <c r="D146" s="2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3"/>
      <c r="B147" s="1"/>
      <c r="C147" s="1"/>
      <c r="D147" s="2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3"/>
      <c r="B148" s="1"/>
      <c r="C148" s="1"/>
      <c r="D148" s="2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3"/>
      <c r="B149" s="1"/>
      <c r="C149" s="1"/>
      <c r="D149" s="2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3"/>
      <c r="B150" s="1"/>
      <c r="C150" s="1"/>
      <c r="D150" s="2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3"/>
      <c r="B151" s="1"/>
      <c r="C151" s="1"/>
      <c r="D151" s="2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3"/>
      <c r="B152" s="1"/>
      <c r="C152" s="1"/>
      <c r="D152" s="2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3"/>
      <c r="B153" s="1"/>
      <c r="C153" s="1"/>
      <c r="D153" s="2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3"/>
      <c r="B154" s="1"/>
      <c r="C154" s="1"/>
      <c r="D154" s="2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3"/>
      <c r="B155" s="1"/>
      <c r="C155" s="1"/>
      <c r="D155" s="2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3"/>
      <c r="B156" s="1"/>
      <c r="C156" s="1"/>
      <c r="D156" s="2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3"/>
      <c r="B157" s="1"/>
      <c r="C157" s="1"/>
      <c r="D157" s="2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3"/>
      <c r="B158" s="1"/>
      <c r="C158" s="1"/>
      <c r="D158" s="2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3"/>
      <c r="B159" s="1"/>
      <c r="C159" s="1"/>
      <c r="D159" s="2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3"/>
      <c r="B160" s="1"/>
      <c r="C160" s="1"/>
      <c r="D160" s="2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3"/>
      <c r="B161" s="1"/>
      <c r="C161" s="1"/>
      <c r="D161" s="2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3"/>
      <c r="B162" s="1"/>
      <c r="C162" s="1"/>
      <c r="D162" s="2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3"/>
      <c r="B163" s="1"/>
      <c r="C163" s="1"/>
      <c r="D163" s="2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3"/>
      <c r="B164" s="1"/>
      <c r="C164" s="1"/>
      <c r="D164" s="2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3"/>
      <c r="B165" s="1"/>
      <c r="C165" s="1"/>
      <c r="D165" s="2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3"/>
      <c r="B166" s="1"/>
      <c r="C166" s="1"/>
      <c r="D166" s="2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3"/>
      <c r="B167" s="1"/>
      <c r="C167" s="1"/>
      <c r="D167" s="2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3"/>
      <c r="B168" s="1"/>
      <c r="C168" s="1"/>
      <c r="D168" s="2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3"/>
      <c r="B169" s="1"/>
      <c r="C169" s="1"/>
      <c r="D169" s="2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3"/>
      <c r="B170" s="1"/>
      <c r="C170" s="1"/>
      <c r="D170" s="2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3"/>
      <c r="B171" s="1"/>
      <c r="C171" s="1"/>
      <c r="D171" s="2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3"/>
      <c r="B172" s="1"/>
      <c r="C172" s="1"/>
      <c r="D172" s="2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3"/>
      <c r="B173" s="1"/>
      <c r="C173" s="1"/>
      <c r="D173" s="2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3"/>
      <c r="B174" s="1"/>
      <c r="C174" s="1"/>
      <c r="D174" s="2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3"/>
      <c r="B175" s="1"/>
      <c r="C175" s="1"/>
      <c r="D175" s="2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3"/>
      <c r="B176" s="1"/>
      <c r="C176" s="1"/>
      <c r="D176" s="2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3"/>
      <c r="B177" s="1"/>
      <c r="C177" s="1"/>
      <c r="D177" s="2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3"/>
      <c r="B178" s="1"/>
      <c r="C178" s="1"/>
      <c r="D178" s="2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3"/>
      <c r="B179" s="1"/>
      <c r="C179" s="1"/>
      <c r="D179" s="2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3"/>
      <c r="B180" s="1"/>
      <c r="C180" s="1"/>
      <c r="D180" s="2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3"/>
      <c r="B181" s="1"/>
      <c r="C181" s="1"/>
      <c r="D181" s="2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3"/>
      <c r="B182" s="1"/>
      <c r="C182" s="1"/>
      <c r="D182" s="2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3"/>
      <c r="B183" s="1"/>
      <c r="C183" s="1"/>
      <c r="D183" s="2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3"/>
      <c r="B184" s="1"/>
      <c r="C184" s="1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3"/>
      <c r="B185" s="1"/>
      <c r="C185" s="1"/>
      <c r="D185" s="2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3"/>
      <c r="B186" s="1"/>
      <c r="C186" s="1"/>
      <c r="D186" s="2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3"/>
      <c r="B187" s="1"/>
      <c r="C187" s="1"/>
      <c r="D187" s="2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3"/>
      <c r="B188" s="1"/>
      <c r="C188" s="1"/>
      <c r="D188" s="2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3"/>
      <c r="B189" s="1"/>
      <c r="C189" s="1"/>
      <c r="D189" s="2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3"/>
      <c r="B190" s="1"/>
      <c r="C190" s="1"/>
      <c r="D190" s="2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3"/>
      <c r="B191" s="1"/>
      <c r="C191" s="1"/>
      <c r="D191" s="2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3"/>
      <c r="B192" s="1"/>
      <c r="C192" s="1"/>
      <c r="D192" s="2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3"/>
      <c r="B193" s="1"/>
      <c r="C193" s="1"/>
      <c r="D193" s="2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3"/>
      <c r="B194" s="1"/>
      <c r="C194" s="1"/>
      <c r="D194" s="2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3"/>
      <c r="B195" s="1"/>
      <c r="C195" s="1"/>
      <c r="D195" s="2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3"/>
      <c r="B196" s="1"/>
      <c r="C196" s="1"/>
      <c r="D196" s="2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3"/>
      <c r="B197" s="1"/>
      <c r="C197" s="1"/>
      <c r="D197" s="2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3"/>
      <c r="B198" s="1"/>
      <c r="C198" s="1"/>
      <c r="D198" s="2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3"/>
      <c r="B199" s="1"/>
      <c r="C199" s="1"/>
      <c r="D199" s="2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3"/>
      <c r="B200" s="1"/>
      <c r="C200" s="1"/>
      <c r="D200" s="2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3"/>
      <c r="B201" s="1"/>
      <c r="C201" s="1"/>
      <c r="D201" s="2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3"/>
      <c r="B202" s="1"/>
      <c r="C202" s="1"/>
      <c r="D202" s="2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3"/>
      <c r="B203" s="1"/>
      <c r="C203" s="1"/>
      <c r="D203" s="2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3"/>
      <c r="B204" s="1"/>
      <c r="C204" s="1"/>
      <c r="D204" s="2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3"/>
      <c r="B205" s="1"/>
      <c r="C205" s="1"/>
      <c r="D205" s="2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3"/>
      <c r="B206" s="1"/>
      <c r="C206" s="1"/>
      <c r="D206" s="2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3"/>
      <c r="B207" s="1"/>
      <c r="C207" s="1"/>
      <c r="D207" s="2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3"/>
      <c r="B208" s="1"/>
      <c r="C208" s="1"/>
      <c r="D208" s="2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3"/>
      <c r="B209" s="1"/>
      <c r="C209" s="1"/>
      <c r="D209" s="2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3"/>
      <c r="B210" s="1"/>
      <c r="C210" s="1"/>
      <c r="D210" s="2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3"/>
      <c r="B211" s="1"/>
      <c r="C211" s="1"/>
      <c r="D211" s="2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3"/>
      <c r="B212" s="1"/>
      <c r="C212" s="1"/>
      <c r="D212" s="2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3"/>
      <c r="B213" s="1"/>
      <c r="C213" s="1"/>
      <c r="D213" s="2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3"/>
      <c r="B214" s="1"/>
      <c r="C214" s="1"/>
      <c r="D214" s="2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3"/>
      <c r="B215" s="1"/>
      <c r="C215" s="1"/>
      <c r="D215" s="2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3"/>
      <c r="B216" s="1"/>
      <c r="C216" s="1"/>
      <c r="D216" s="2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3"/>
      <c r="B217" s="1"/>
      <c r="C217" s="1"/>
      <c r="D217" s="2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3"/>
      <c r="B218" s="1"/>
      <c r="C218" s="1"/>
      <c r="D218" s="2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3"/>
      <c r="B219" s="1"/>
      <c r="C219" s="1"/>
      <c r="D219" s="2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3"/>
      <c r="B220" s="1"/>
      <c r="C220" s="1"/>
      <c r="D220" s="2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3"/>
      <c r="B221" s="1"/>
      <c r="C221" s="1"/>
      <c r="D221" s="2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3"/>
      <c r="B222" s="1"/>
      <c r="C222" s="1"/>
      <c r="D222" s="2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3"/>
      <c r="B223" s="1"/>
      <c r="C223" s="1"/>
      <c r="D223" s="2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3"/>
      <c r="B224" s="1"/>
      <c r="C224" s="1"/>
      <c r="D224" s="2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3"/>
      <c r="B225" s="1"/>
      <c r="C225" s="1"/>
      <c r="D225" s="2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3"/>
      <c r="B226" s="1"/>
      <c r="C226" s="1"/>
      <c r="D226" s="2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3"/>
      <c r="B227" s="1"/>
      <c r="C227" s="1"/>
      <c r="D227" s="2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3"/>
      <c r="B228" s="1"/>
      <c r="C228" s="1"/>
      <c r="D228" s="2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3"/>
      <c r="B229" s="1"/>
      <c r="C229" s="1"/>
      <c r="D229" s="2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3"/>
      <c r="B230" s="1"/>
      <c r="C230" s="1"/>
      <c r="D230" s="2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3"/>
      <c r="B231" s="1"/>
      <c r="C231" s="1"/>
      <c r="D231" s="2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3"/>
      <c r="B232" s="1"/>
      <c r="C232" s="1"/>
      <c r="D232" s="2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3"/>
      <c r="B233" s="1"/>
      <c r="C233" s="1"/>
      <c r="D233" s="2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3"/>
      <c r="B234" s="1"/>
      <c r="C234" s="1"/>
      <c r="D234" s="2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3"/>
      <c r="B235" s="1"/>
      <c r="C235" s="1"/>
      <c r="D235" s="2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3"/>
      <c r="B236" s="1"/>
      <c r="C236" s="1"/>
      <c r="D236" s="2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3"/>
      <c r="B237" s="1"/>
      <c r="C237" s="1"/>
      <c r="D237" s="2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3"/>
      <c r="B238" s="1"/>
      <c r="C238" s="1"/>
      <c r="D238" s="2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3"/>
      <c r="B239" s="1"/>
      <c r="C239" s="1"/>
      <c r="D239" s="2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3"/>
      <c r="B240" s="1"/>
      <c r="C240" s="1"/>
      <c r="D240" s="2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52:K52"/>
    <mergeCell ref="G53:K53"/>
    <mergeCell ref="G54:K54"/>
    <mergeCell ref="G55:K55"/>
    <mergeCell ref="G45:K45"/>
    <mergeCell ref="G46:K46"/>
    <mergeCell ref="G47:K47"/>
    <mergeCell ref="G48:K48"/>
    <mergeCell ref="G49:K49"/>
    <mergeCell ref="G50:K50"/>
    <mergeCell ref="G51:K5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19.25"/>
    <col customWidth="1" min="4" max="9" width="10.63"/>
  </cols>
  <sheetData>
    <row r="1" ht="12.75" customHeight="1"/>
    <row r="2" ht="12.75" customHeight="1"/>
    <row r="3" ht="12.75" customHeight="1"/>
    <row r="4" ht="12.75" customHeight="1">
      <c r="D4" s="78" t="s">
        <v>156</v>
      </c>
    </row>
    <row r="5" ht="12.75" customHeight="1">
      <c r="D5" s="78">
        <v>2024.0</v>
      </c>
      <c r="E5" s="78">
        <v>2023.0</v>
      </c>
      <c r="F5" s="78">
        <v>2022.0</v>
      </c>
      <c r="G5" s="78">
        <v>2021.0</v>
      </c>
      <c r="H5" s="78">
        <v>2020.0</v>
      </c>
      <c r="I5" s="78">
        <v>2019.0</v>
      </c>
    </row>
    <row r="6" ht="12.75" customHeight="1">
      <c r="C6" s="78" t="s">
        <v>157</v>
      </c>
      <c r="D6" s="194"/>
      <c r="E6" s="194">
        <f t="shared" ref="E6:I6" si="1">+SUM(E7:E11)/1000</f>
        <v>199.51</v>
      </c>
      <c r="F6" s="194">
        <f t="shared" si="1"/>
        <v>218.859</v>
      </c>
      <c r="G6" s="194">
        <f t="shared" si="1"/>
        <v>187.514</v>
      </c>
      <c r="H6" s="194">
        <f t="shared" si="1"/>
        <v>157.647</v>
      </c>
      <c r="I6" s="194">
        <f t="shared" si="1"/>
        <v>194.488</v>
      </c>
    </row>
    <row r="7" ht="12.75" customHeight="1">
      <c r="B7" s="78">
        <f>+D7+D10</f>
        <v>108424</v>
      </c>
      <c r="C7" s="78" t="s">
        <v>158</v>
      </c>
      <c r="D7" s="154">
        <v>102935.0</v>
      </c>
      <c r="E7" s="78">
        <v>103455.0</v>
      </c>
      <c r="F7" s="78">
        <v>106245.0</v>
      </c>
      <c r="G7" s="78">
        <v>88788.0</v>
      </c>
      <c r="H7" s="78">
        <v>74415.0</v>
      </c>
      <c r="I7" s="78">
        <v>105200.0</v>
      </c>
    </row>
    <row r="8" ht="12.75" customHeight="1">
      <c r="C8" s="78" t="s">
        <v>159</v>
      </c>
      <c r="D8" s="78">
        <v>6700.0</v>
      </c>
      <c r="E8" s="78">
        <v>4568.0</v>
      </c>
      <c r="F8" s="78">
        <v>5952.0</v>
      </c>
      <c r="G8" s="78">
        <v>4058.0</v>
      </c>
      <c r="H8" s="78">
        <v>15350.0</v>
      </c>
      <c r="I8" s="78">
        <v>18302.0</v>
      </c>
    </row>
    <row r="9" ht="12.75" customHeight="1">
      <c r="C9" s="78" t="s">
        <v>160</v>
      </c>
      <c r="D9" s="78">
        <v>68515.0</v>
      </c>
      <c r="E9" s="78">
        <v>88829.0</v>
      </c>
      <c r="F9" s="78">
        <v>104267.0</v>
      </c>
      <c r="G9" s="78">
        <v>90736.0</v>
      </c>
      <c r="H9" s="78">
        <v>42387.0</v>
      </c>
      <c r="I9" s="78">
        <v>66534.0</v>
      </c>
    </row>
    <row r="10" ht="12.75" customHeight="1">
      <c r="C10" s="78" t="s">
        <v>161</v>
      </c>
      <c r="D10" s="78">
        <v>5489.0</v>
      </c>
      <c r="E10" s="78">
        <v>1785.0</v>
      </c>
      <c r="F10" s="78">
        <v>1619.0</v>
      </c>
      <c r="G10" s="78">
        <v>3237.0</v>
      </c>
      <c r="H10" s="78">
        <v>22774.0</v>
      </c>
      <c r="I10" s="78">
        <v>3032.0</v>
      </c>
    </row>
    <row r="11" ht="12.75" customHeight="1">
      <c r="C11" s="78" t="s">
        <v>162</v>
      </c>
      <c r="D11" s="78">
        <v>4703.0</v>
      </c>
      <c r="E11" s="78">
        <v>873.0</v>
      </c>
      <c r="F11" s="78">
        <v>776.0</v>
      </c>
      <c r="G11" s="78">
        <v>695.0</v>
      </c>
      <c r="H11" s="78">
        <v>2721.0</v>
      </c>
      <c r="I11" s="78">
        <v>1420.0</v>
      </c>
    </row>
    <row r="12" ht="12.75" customHeight="1"/>
    <row r="13" ht="12.75" customHeight="1">
      <c r="C13" s="78" t="s">
        <v>163</v>
      </c>
    </row>
    <row r="14" ht="12.75" customHeight="1">
      <c r="C14" s="78" t="s">
        <v>164</v>
      </c>
      <c r="D14" s="78">
        <v>2063.0</v>
      </c>
      <c r="E14" s="78">
        <v>2559.0</v>
      </c>
      <c r="F14" s="78">
        <v>409.0</v>
      </c>
      <c r="G14" s="78">
        <v>1123.0</v>
      </c>
      <c r="H14" s="78">
        <v>1225.0</v>
      </c>
      <c r="I14" s="78">
        <v>622.0</v>
      </c>
    </row>
    <row r="15" ht="12.75" customHeight="1">
      <c r="C15" s="78" t="s">
        <v>159</v>
      </c>
      <c r="D15" s="78">
        <v>744.0</v>
      </c>
      <c r="E15" s="78">
        <v>870.0</v>
      </c>
      <c r="F15" s="78">
        <v>1134.0</v>
      </c>
      <c r="G15" s="78">
        <v>768.0</v>
      </c>
      <c r="H15" s="78">
        <v>868.0</v>
      </c>
      <c r="I15" s="78">
        <v>522.0</v>
      </c>
    </row>
    <row r="16" ht="12.75" customHeight="1">
      <c r="C16" s="78" t="s">
        <v>158</v>
      </c>
      <c r="D16" s="78">
        <v>720.0</v>
      </c>
      <c r="E16" s="78">
        <v>1528.0</v>
      </c>
      <c r="F16" s="78">
        <v>229.0</v>
      </c>
      <c r="G16" s="78">
        <v>810.0</v>
      </c>
      <c r="H16" s="78">
        <v>860.0</v>
      </c>
      <c r="I16" s="78">
        <v>1193.0</v>
      </c>
    </row>
    <row r="17" ht="12.75" customHeight="1"/>
    <row r="18" ht="12.75" customHeight="1">
      <c r="C18" s="78" t="s">
        <v>165</v>
      </c>
    </row>
    <row r="19" ht="12.75" customHeight="1">
      <c r="C19" s="78" t="s">
        <v>158</v>
      </c>
      <c r="D19" s="78">
        <v>66.0</v>
      </c>
      <c r="E19" s="78">
        <v>43.0</v>
      </c>
      <c r="F19" s="78">
        <v>96.0</v>
      </c>
      <c r="G19" s="78">
        <v>91.0</v>
      </c>
      <c r="H19" s="78">
        <v>80.0</v>
      </c>
      <c r="I19" s="78">
        <v>44.0</v>
      </c>
    </row>
    <row r="20" ht="12.75" customHeight="1"/>
    <row r="21" ht="12.75" customHeight="1"/>
    <row r="22" ht="12.75" customHeight="1">
      <c r="C22" s="78" t="s">
        <v>166</v>
      </c>
    </row>
    <row r="23" ht="12.75" customHeight="1">
      <c r="C23" s="78" t="s">
        <v>158</v>
      </c>
      <c r="D23" s="78">
        <v>2625.0</v>
      </c>
      <c r="E23" s="78">
        <v>2411.0</v>
      </c>
      <c r="F23" s="78">
        <v>3264.0</v>
      </c>
      <c r="G23" s="78">
        <v>3741.0</v>
      </c>
      <c r="H23" s="78">
        <v>4554.0</v>
      </c>
      <c r="I23" s="78">
        <v>3987.0</v>
      </c>
    </row>
    <row r="24" ht="12.75" customHeight="1">
      <c r="C24" s="78" t="s">
        <v>160</v>
      </c>
      <c r="D24" s="78">
        <v>404.0</v>
      </c>
      <c r="E24" s="78">
        <v>194.0</v>
      </c>
      <c r="F24" s="78">
        <v>803.0</v>
      </c>
      <c r="G24" s="78">
        <v>191.0</v>
      </c>
      <c r="H24" s="78">
        <v>262.0</v>
      </c>
      <c r="I24" s="78">
        <v>484.0</v>
      </c>
    </row>
    <row r="25" ht="12.75" customHeight="1"/>
    <row r="26" ht="12.75" customHeight="1">
      <c r="D26" s="78">
        <f t="shared" ref="D26:I26" si="2">+SUM(D7:D24)</f>
        <v>194964</v>
      </c>
      <c r="E26" s="78">
        <f t="shared" si="2"/>
        <v>207115</v>
      </c>
      <c r="F26" s="78">
        <f t="shared" si="2"/>
        <v>224794</v>
      </c>
      <c r="G26" s="78">
        <f t="shared" si="2"/>
        <v>194238</v>
      </c>
      <c r="H26" s="78">
        <f t="shared" si="2"/>
        <v>165496</v>
      </c>
      <c r="I26" s="78">
        <f t="shared" si="2"/>
        <v>201340</v>
      </c>
    </row>
    <row r="27" ht="12.75" customHeight="1">
      <c r="D27" s="195">
        <f t="shared" ref="D27:I27" si="3">+D26/1000</f>
        <v>194.964</v>
      </c>
      <c r="E27" s="195">
        <f t="shared" si="3"/>
        <v>207.115</v>
      </c>
      <c r="F27" s="195">
        <f t="shared" si="3"/>
        <v>224.794</v>
      </c>
      <c r="G27" s="195">
        <f t="shared" si="3"/>
        <v>194.238</v>
      </c>
      <c r="H27" s="195">
        <f t="shared" si="3"/>
        <v>165.496</v>
      </c>
      <c r="I27" s="195">
        <f t="shared" si="3"/>
        <v>201.34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 outlineLevelRow="1"/>
  <cols>
    <col customWidth="1" min="1" max="1" width="3.13"/>
    <col customWidth="1" min="2" max="2" width="36.38"/>
    <col customWidth="1" min="3" max="3" width="15.5"/>
    <col customWidth="1" min="4" max="4" width="12.88"/>
    <col customWidth="1" min="5" max="5" width="1.63"/>
    <col customWidth="1" min="6" max="17" width="10.63"/>
  </cols>
  <sheetData>
    <row r="1" ht="12.75" customHeight="1"/>
    <row r="2" ht="12.75" customHeight="1">
      <c r="B2" s="196" t="s">
        <v>167</v>
      </c>
      <c r="F2" s="197" t="s">
        <v>168</v>
      </c>
      <c r="G2" s="33"/>
      <c r="H2" s="33"/>
      <c r="I2" s="33"/>
      <c r="J2" s="33"/>
      <c r="K2" s="34"/>
      <c r="L2" s="197" t="s">
        <v>169</v>
      </c>
      <c r="M2" s="33"/>
      <c r="N2" s="33"/>
      <c r="O2" s="33"/>
      <c r="P2" s="34"/>
    </row>
    <row r="3" ht="12.75" customHeight="1">
      <c r="B3" s="154" t="s">
        <v>170</v>
      </c>
      <c r="D3" s="198" t="s">
        <v>171</v>
      </c>
      <c r="E3" s="64"/>
      <c r="F3" s="199">
        <v>2019.0</v>
      </c>
      <c r="G3" s="199">
        <v>2020.0</v>
      </c>
      <c r="H3" s="199">
        <v>2021.0</v>
      </c>
      <c r="I3" s="199">
        <v>2022.0</v>
      </c>
      <c r="J3" s="199">
        <v>2023.0</v>
      </c>
      <c r="K3" s="200">
        <v>2024.0</v>
      </c>
      <c r="L3" s="201">
        <f t="shared" ref="L3:P3" si="1">K3+1</f>
        <v>2025</v>
      </c>
      <c r="M3" s="201">
        <f t="shared" si="1"/>
        <v>2026</v>
      </c>
      <c r="N3" s="201">
        <f t="shared" si="1"/>
        <v>2027</v>
      </c>
      <c r="O3" s="201">
        <f t="shared" si="1"/>
        <v>2028</v>
      </c>
      <c r="P3" s="201">
        <f t="shared" si="1"/>
        <v>2029</v>
      </c>
      <c r="Q3" s="202"/>
    </row>
    <row r="4" ht="12.75" customHeight="1">
      <c r="B4" s="203"/>
      <c r="C4" s="203"/>
      <c r="D4" s="204" t="s">
        <v>172</v>
      </c>
      <c r="E4" s="205"/>
      <c r="F4" s="206">
        <v>43830.0</v>
      </c>
      <c r="G4" s="206">
        <v>44196.0</v>
      </c>
      <c r="H4" s="206">
        <v>44561.0</v>
      </c>
      <c r="I4" s="206">
        <v>44926.0</v>
      </c>
      <c r="J4" s="206">
        <v>45291.0</v>
      </c>
      <c r="K4" s="206">
        <v>45657.0</v>
      </c>
      <c r="L4" s="207">
        <v>46022.0</v>
      </c>
      <c r="M4" s="207">
        <v>46387.0</v>
      </c>
      <c r="N4" s="207">
        <v>46752.0</v>
      </c>
      <c r="O4" s="207">
        <v>47118.0</v>
      </c>
      <c r="P4" s="207">
        <v>47483.0</v>
      </c>
      <c r="Q4" s="203"/>
    </row>
    <row r="5" ht="12.75" customHeight="1">
      <c r="A5" s="153" t="s">
        <v>33</v>
      </c>
      <c r="B5" s="208" t="s">
        <v>173</v>
      </c>
      <c r="C5" s="208"/>
      <c r="D5" s="209"/>
      <c r="E5" s="209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03"/>
    </row>
    <row r="6" ht="12.75" customHeight="1">
      <c r="A6" s="211"/>
      <c r="Q6" s="202"/>
    </row>
    <row r="7" ht="12.75" customHeight="1">
      <c r="B7" s="78" t="s">
        <v>174</v>
      </c>
      <c r="D7" s="153"/>
      <c r="F7" s="212">
        <v>0.024</v>
      </c>
      <c r="G7" s="212">
        <v>0.02</v>
      </c>
      <c r="H7" s="212">
        <v>0.064</v>
      </c>
      <c r="I7" s="212">
        <v>0.085</v>
      </c>
      <c r="J7" s="212">
        <v>0.032</v>
      </c>
      <c r="K7" s="212">
        <v>0.02</v>
      </c>
      <c r="L7" s="213">
        <v>0.017</v>
      </c>
      <c r="M7" s="213">
        <v>0.02</v>
      </c>
      <c r="N7" s="213">
        <v>0.02</v>
      </c>
      <c r="O7" s="213">
        <v>0.02</v>
      </c>
      <c r="P7" s="213">
        <v>0.02</v>
      </c>
      <c r="Q7" s="202"/>
    </row>
    <row r="8" ht="12.75" customHeight="1">
      <c r="B8" s="154" t="s">
        <v>175</v>
      </c>
      <c r="D8" s="153" t="s">
        <v>32</v>
      </c>
      <c r="F8" s="214" t="s">
        <v>176</v>
      </c>
      <c r="G8" s="214">
        <v>-0.134</v>
      </c>
      <c r="H8" s="214">
        <v>0.081</v>
      </c>
      <c r="I8" s="214">
        <v>0.005</v>
      </c>
      <c r="J8" s="214">
        <v>0.081</v>
      </c>
      <c r="K8" s="215">
        <v>0.022</v>
      </c>
      <c r="L8" s="216">
        <v>0.02</v>
      </c>
      <c r="M8" s="217">
        <v>0.048</v>
      </c>
      <c r="N8" s="217">
        <v>0.015</v>
      </c>
      <c r="O8" s="217">
        <v>0.013</v>
      </c>
      <c r="P8" s="217">
        <v>0.015</v>
      </c>
      <c r="Q8" s="202"/>
    </row>
    <row r="9" ht="12.75" customHeight="1">
      <c r="B9" s="154"/>
      <c r="Q9" s="202"/>
    </row>
    <row r="10" ht="12.75" customHeight="1">
      <c r="A10" s="153" t="s">
        <v>33</v>
      </c>
      <c r="B10" s="201" t="s">
        <v>177</v>
      </c>
      <c r="C10" s="218"/>
      <c r="D10" s="219"/>
      <c r="E10" s="219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03"/>
    </row>
    <row r="11" ht="12.75" customHeight="1">
      <c r="A11" s="153"/>
      <c r="D11" s="153"/>
      <c r="E11" s="153"/>
      <c r="Q11" s="202"/>
    </row>
    <row r="12" ht="12.75" customHeight="1">
      <c r="A12" s="153" t="s">
        <v>33</v>
      </c>
      <c r="B12" s="208" t="s">
        <v>178</v>
      </c>
      <c r="C12" s="220"/>
      <c r="D12" s="221"/>
      <c r="E12" s="221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02"/>
    </row>
    <row r="13" ht="12.75" customHeight="1"/>
    <row r="14" ht="12.75" customHeight="1">
      <c r="B14" s="196" t="s">
        <v>35</v>
      </c>
      <c r="D14" s="153" t="s">
        <v>179</v>
      </c>
      <c r="E14" s="153"/>
      <c r="F14" s="222">
        <f>+Buildup!E6</f>
        <v>743.578</v>
      </c>
      <c r="G14" s="222">
        <f>+Buildup!F6</f>
        <v>535.469</v>
      </c>
      <c r="H14" s="222">
        <f>+Buildup!G6</f>
        <v>937.399</v>
      </c>
      <c r="I14" s="222">
        <f>+Buildup!H6</f>
        <v>951.266</v>
      </c>
      <c r="J14" s="222">
        <f>+Buildup!I6</f>
        <v>883.086</v>
      </c>
      <c r="K14" s="222">
        <f>+Buildup!J6</f>
        <v>960.521</v>
      </c>
      <c r="L14" s="223">
        <f t="shared" ref="L14:P14" si="2">+(L18+L31+L44+L57)/1000</f>
        <v>922.2750116</v>
      </c>
      <c r="M14" s="223">
        <f t="shared" si="2"/>
        <v>1065.619494</v>
      </c>
      <c r="N14" s="223">
        <f t="shared" si="2"/>
        <v>1182.831605</v>
      </c>
      <c r="O14" s="223">
        <f t="shared" si="2"/>
        <v>1182.831605</v>
      </c>
      <c r="P14" s="223">
        <f t="shared" si="2"/>
        <v>1221.331605</v>
      </c>
    </row>
    <row r="15" ht="12.75" customHeight="1">
      <c r="B15" s="154" t="s">
        <v>180</v>
      </c>
      <c r="D15" s="153" t="s">
        <v>32</v>
      </c>
      <c r="E15" s="153"/>
      <c r="F15" s="224" t="str">
        <f>IFERROR(F14/#REF!-1," ")</f>
        <v> </v>
      </c>
      <c r="G15" s="225">
        <f t="shared" ref="G15:P15" si="3">IFERROR(G14/F14-1," ")</f>
        <v>-0.2798751442</v>
      </c>
      <c r="H15" s="225">
        <f t="shared" si="3"/>
        <v>0.750613014</v>
      </c>
      <c r="I15" s="225">
        <f t="shared" si="3"/>
        <v>0.01479306037</v>
      </c>
      <c r="J15" s="225">
        <f t="shared" si="3"/>
        <v>-0.07167290747</v>
      </c>
      <c r="K15" s="225">
        <f t="shared" si="3"/>
        <v>0.08768681646</v>
      </c>
      <c r="L15" s="226">
        <f t="shared" si="3"/>
        <v>-0.0398179617</v>
      </c>
      <c r="M15" s="226">
        <f t="shared" si="3"/>
        <v>0.1554248798</v>
      </c>
      <c r="N15" s="226">
        <f t="shared" si="3"/>
        <v>0.1099943377</v>
      </c>
      <c r="O15" s="226">
        <f t="shared" si="3"/>
        <v>0</v>
      </c>
      <c r="P15" s="226">
        <f t="shared" si="3"/>
        <v>0.03254901191</v>
      </c>
    </row>
    <row r="16" ht="12.75" customHeight="1">
      <c r="D16" s="153"/>
      <c r="E16" s="153"/>
    </row>
    <row r="17" ht="12.75" customHeight="1">
      <c r="B17" s="227" t="s">
        <v>181</v>
      </c>
      <c r="D17" s="153"/>
      <c r="F17" s="202"/>
      <c r="L17" s="228"/>
      <c r="M17" s="228"/>
      <c r="N17" s="228"/>
      <c r="O17" s="228"/>
      <c r="P17" s="228"/>
    </row>
    <row r="18" ht="12.75" customHeight="1">
      <c r="B18" s="196" t="s">
        <v>182</v>
      </c>
      <c r="D18" s="153"/>
      <c r="F18" s="229">
        <f t="shared" ref="F18:P18" si="4">+F20*F22</f>
        <v>612660.7</v>
      </c>
      <c r="G18" s="230">
        <f t="shared" si="4"/>
        <v>379620</v>
      </c>
      <c r="H18" s="230">
        <f t="shared" si="4"/>
        <v>661483.9</v>
      </c>
      <c r="I18" s="230">
        <f t="shared" si="4"/>
        <v>771541.3</v>
      </c>
      <c r="J18" s="230">
        <f t="shared" si="4"/>
        <v>645176.4</v>
      </c>
      <c r="K18" s="230">
        <f t="shared" si="4"/>
        <v>653801.6</v>
      </c>
      <c r="L18" s="223">
        <f t="shared" si="4"/>
        <v>708894.1315</v>
      </c>
      <c r="M18" s="223">
        <f t="shared" si="4"/>
        <v>777021.8007</v>
      </c>
      <c r="N18" s="223">
        <f t="shared" si="4"/>
        <v>821021.8007</v>
      </c>
      <c r="O18" s="223">
        <f t="shared" si="4"/>
        <v>821021.8007</v>
      </c>
      <c r="P18" s="223">
        <f t="shared" si="4"/>
        <v>859521.8007</v>
      </c>
    </row>
    <row r="19" ht="12.75" customHeight="1">
      <c r="B19" s="231" t="s">
        <v>183</v>
      </c>
      <c r="C19" s="232"/>
      <c r="D19" s="233" t="s">
        <v>32</v>
      </c>
      <c r="E19" s="232"/>
      <c r="F19" s="234"/>
      <c r="G19" s="235">
        <f t="shared" ref="G19:P19" si="5">+G18/F18-1</f>
        <v>-0.3803748143</v>
      </c>
      <c r="H19" s="235">
        <f t="shared" si="5"/>
        <v>0.7424895949</v>
      </c>
      <c r="I19" s="235">
        <f t="shared" si="5"/>
        <v>0.1663795597</v>
      </c>
      <c r="J19" s="235">
        <f t="shared" si="5"/>
        <v>-0.1637824184</v>
      </c>
      <c r="K19" s="235">
        <f t="shared" si="5"/>
        <v>0.0133687469</v>
      </c>
      <c r="L19" s="236">
        <f t="shared" si="5"/>
        <v>0.08426490781</v>
      </c>
      <c r="M19" s="236">
        <f t="shared" si="5"/>
        <v>0.09610415162</v>
      </c>
      <c r="N19" s="236">
        <f t="shared" si="5"/>
        <v>0.05662646783</v>
      </c>
      <c r="O19" s="236">
        <f t="shared" si="5"/>
        <v>0</v>
      </c>
      <c r="P19" s="236">
        <f t="shared" si="5"/>
        <v>0.04689278649</v>
      </c>
    </row>
    <row r="20" ht="12.75" customHeight="1">
      <c r="B20" s="154" t="s">
        <v>184</v>
      </c>
      <c r="D20" s="153" t="s">
        <v>185</v>
      </c>
      <c r="F20" s="229">
        <v>2539.0</v>
      </c>
      <c r="G20" s="230">
        <v>2280.0</v>
      </c>
      <c r="H20" s="230">
        <v>2981.0</v>
      </c>
      <c r="I20" s="230">
        <v>3449.0</v>
      </c>
      <c r="J20" s="230">
        <v>2642.0</v>
      </c>
      <c r="K20" s="230">
        <v>2768.0</v>
      </c>
      <c r="L20" s="223">
        <v>2700.0</v>
      </c>
      <c r="M20" s="223">
        <v>2750.0</v>
      </c>
      <c r="N20" s="223">
        <v>2750.0</v>
      </c>
      <c r="O20" s="223">
        <v>2750.0</v>
      </c>
      <c r="P20" s="223">
        <v>2750.0</v>
      </c>
    </row>
    <row r="21" ht="12.75" customHeight="1">
      <c r="B21" s="232" t="s">
        <v>183</v>
      </c>
      <c r="C21" s="232"/>
      <c r="D21" s="233" t="s">
        <v>32</v>
      </c>
      <c r="E21" s="232"/>
      <c r="F21" s="237"/>
      <c r="G21" s="235">
        <f t="shared" ref="G21:P21" si="6">+G20/F20-1</f>
        <v>-0.1020086648</v>
      </c>
      <c r="H21" s="235">
        <f t="shared" si="6"/>
        <v>0.3074561404</v>
      </c>
      <c r="I21" s="235">
        <f t="shared" si="6"/>
        <v>0.1569942972</v>
      </c>
      <c r="J21" s="235">
        <f t="shared" si="6"/>
        <v>-0.233980864</v>
      </c>
      <c r="K21" s="235">
        <f t="shared" si="6"/>
        <v>0.04769114307</v>
      </c>
      <c r="L21" s="236">
        <f t="shared" si="6"/>
        <v>-0.02456647399</v>
      </c>
      <c r="M21" s="236">
        <f t="shared" si="6"/>
        <v>0.01851851852</v>
      </c>
      <c r="N21" s="236">
        <f t="shared" si="6"/>
        <v>0</v>
      </c>
      <c r="O21" s="236">
        <f t="shared" si="6"/>
        <v>0</v>
      </c>
      <c r="P21" s="236">
        <f t="shared" si="6"/>
        <v>0</v>
      </c>
    </row>
    <row r="22" ht="12.75" customHeight="1">
      <c r="B22" s="154" t="s">
        <v>186</v>
      </c>
      <c r="D22" s="153" t="s">
        <v>187</v>
      </c>
      <c r="E22" s="154"/>
      <c r="F22" s="238">
        <v>241.3</v>
      </c>
      <c r="G22" s="195">
        <v>166.5</v>
      </c>
      <c r="H22" s="195">
        <v>221.9</v>
      </c>
      <c r="I22" s="195">
        <v>223.7</v>
      </c>
      <c r="J22" s="195">
        <v>244.2</v>
      </c>
      <c r="K22" s="195">
        <v>236.2</v>
      </c>
      <c r="L22" s="223">
        <f>+L27+L29</f>
        <v>262.5533821</v>
      </c>
      <c r="M22" s="223">
        <f t="shared" ref="M22:P22" si="7">+M27+M28</f>
        <v>282.5533821</v>
      </c>
      <c r="N22" s="223">
        <f t="shared" si="7"/>
        <v>298.5533821</v>
      </c>
      <c r="O22" s="223">
        <f t="shared" si="7"/>
        <v>298.5533821</v>
      </c>
      <c r="P22" s="223">
        <f t="shared" si="7"/>
        <v>312.5533821</v>
      </c>
    </row>
    <row r="23" ht="12.75" customHeight="1">
      <c r="B23" s="154"/>
      <c r="C23" s="154"/>
      <c r="D23" s="153"/>
      <c r="E23" s="154"/>
      <c r="F23" s="202"/>
      <c r="G23" s="154"/>
      <c r="H23" s="154"/>
      <c r="I23" s="154"/>
      <c r="J23" s="154"/>
      <c r="K23" s="211"/>
      <c r="L23" s="239"/>
      <c r="M23" s="239"/>
      <c r="N23" s="239"/>
      <c r="O23" s="239"/>
      <c r="P23" s="239"/>
    </row>
    <row r="24" ht="12.75" customHeight="1">
      <c r="B24" s="78" t="s">
        <v>188</v>
      </c>
      <c r="C24" s="154"/>
      <c r="D24" s="153"/>
      <c r="E24" s="154"/>
      <c r="F24" s="202">
        <v>1565.0</v>
      </c>
      <c r="G24" s="154">
        <v>1274.0</v>
      </c>
      <c r="H24" s="154">
        <v>1091.0</v>
      </c>
      <c r="I24" s="154">
        <v>1162.0</v>
      </c>
      <c r="J24" s="154">
        <v>1162.0</v>
      </c>
      <c r="K24" s="154">
        <v>1924.0</v>
      </c>
      <c r="L24" s="240"/>
      <c r="M24" s="240"/>
      <c r="N24" s="240"/>
      <c r="O24" s="240"/>
      <c r="P24" s="240"/>
    </row>
    <row r="25" ht="12.75" customHeight="1">
      <c r="B25" s="232" t="s">
        <v>189</v>
      </c>
      <c r="C25" s="232"/>
      <c r="D25" s="233"/>
      <c r="E25" s="232"/>
      <c r="F25" s="235">
        <f>+F22/AVERAGE(D24:F24)</f>
        <v>0.1541853035</v>
      </c>
      <c r="G25" s="235">
        <f t="shared" ref="G25:K25" si="8">+G22/AVERAGE(F24:G24)</f>
        <v>0.1172948221</v>
      </c>
      <c r="H25" s="235">
        <f t="shared" si="8"/>
        <v>0.187653277</v>
      </c>
      <c r="I25" s="235">
        <f t="shared" si="8"/>
        <v>0.1985796715</v>
      </c>
      <c r="J25" s="235">
        <f t="shared" si="8"/>
        <v>0.2101549053</v>
      </c>
      <c r="K25" s="235">
        <f t="shared" si="8"/>
        <v>0.1530784187</v>
      </c>
      <c r="M25" s="241"/>
      <c r="N25" s="242"/>
      <c r="O25" s="242"/>
      <c r="P25" s="242"/>
    </row>
    <row r="26" ht="12.75" customHeight="1">
      <c r="B26" s="154"/>
      <c r="C26" s="154"/>
      <c r="D26" s="153"/>
      <c r="E26" s="154"/>
      <c r="F26" s="154"/>
      <c r="G26" s="154"/>
      <c r="H26" s="154"/>
      <c r="I26" s="154"/>
      <c r="J26" s="154"/>
      <c r="K26" s="154"/>
      <c r="L26" s="154"/>
      <c r="M26" s="243"/>
      <c r="N26" s="243"/>
      <c r="O26" s="243"/>
      <c r="P26" s="243"/>
    </row>
    <row r="27" ht="12.75" customHeight="1">
      <c r="B27" s="154" t="s">
        <v>190</v>
      </c>
      <c r="C27" s="244">
        <f>+AVERAGE(F25:K25)</f>
        <v>0.170157733</v>
      </c>
      <c r="E27" s="245"/>
      <c r="G27" s="154"/>
      <c r="H27" s="154"/>
      <c r="I27" s="154"/>
      <c r="J27" s="154"/>
      <c r="L27" s="246">
        <f t="shared" ref="L27:P27" si="9">+$C$27*AVERAGE($J$24:$K$24)</f>
        <v>262.5533821</v>
      </c>
      <c r="M27" s="246">
        <f t="shared" si="9"/>
        <v>262.5533821</v>
      </c>
      <c r="N27" s="246">
        <f t="shared" si="9"/>
        <v>262.5533821</v>
      </c>
      <c r="O27" s="246">
        <f t="shared" si="9"/>
        <v>262.5533821</v>
      </c>
      <c r="P27" s="246">
        <f t="shared" si="9"/>
        <v>262.5533821</v>
      </c>
    </row>
    <row r="28" ht="12.75" customHeight="1">
      <c r="B28" s="154" t="s">
        <v>191</v>
      </c>
      <c r="D28" s="153" t="s">
        <v>187</v>
      </c>
      <c r="L28" s="247">
        <v>0.0</v>
      </c>
      <c r="M28" s="247">
        <v>20.0</v>
      </c>
      <c r="N28" s="247">
        <v>36.0</v>
      </c>
      <c r="O28" s="247">
        <v>36.0</v>
      </c>
      <c r="P28" s="247">
        <v>50.0</v>
      </c>
    </row>
    <row r="29" ht="12.75" customHeight="1">
      <c r="B29" s="154"/>
    </row>
    <row r="30" ht="12.75" customHeight="1">
      <c r="B30" s="227" t="s">
        <v>192</v>
      </c>
      <c r="D30" s="153"/>
      <c r="F30" s="202" t="s">
        <v>17</v>
      </c>
      <c r="L30" s="228"/>
      <c r="M30" s="228"/>
      <c r="N30" s="228"/>
      <c r="O30" s="228"/>
      <c r="P30" s="228"/>
    </row>
    <row r="31" ht="12.75" customHeight="1">
      <c r="B31" s="196" t="s">
        <v>193</v>
      </c>
      <c r="D31" s="153"/>
      <c r="F31" s="229">
        <f t="shared" ref="F31:P31" si="10">+F33*F35</f>
        <v>128219.5</v>
      </c>
      <c r="G31" s="230">
        <f t="shared" si="10"/>
        <v>83516.4</v>
      </c>
      <c r="H31" s="230">
        <f t="shared" si="10"/>
        <v>102508.8</v>
      </c>
      <c r="I31" s="230">
        <f t="shared" si="10"/>
        <v>122505.7</v>
      </c>
      <c r="J31" s="230">
        <f t="shared" si="10"/>
        <v>129625.6</v>
      </c>
      <c r="K31" s="230">
        <f t="shared" si="10"/>
        <v>114913.4</v>
      </c>
      <c r="L31" s="223">
        <f t="shared" si="10"/>
        <v>166636.4337</v>
      </c>
      <c r="M31" s="223">
        <f t="shared" si="10"/>
        <v>188136.4337</v>
      </c>
      <c r="N31" s="223">
        <f t="shared" si="10"/>
        <v>209636.4337</v>
      </c>
      <c r="O31" s="223">
        <f t="shared" si="10"/>
        <v>209636.4337</v>
      </c>
      <c r="P31" s="223">
        <f t="shared" si="10"/>
        <v>209636.4337</v>
      </c>
    </row>
    <row r="32" ht="12.75" customHeight="1">
      <c r="B32" s="232" t="s">
        <v>194</v>
      </c>
      <c r="C32" s="232"/>
      <c r="D32" s="233" t="s">
        <v>32</v>
      </c>
      <c r="E32" s="232"/>
      <c r="F32" s="234"/>
      <c r="G32" s="235">
        <f t="shared" ref="G32:P32" si="11">+G31/F31-1</f>
        <v>-0.3486450969</v>
      </c>
      <c r="H32" s="235">
        <f t="shared" si="11"/>
        <v>0.2274092274</v>
      </c>
      <c r="I32" s="235">
        <f t="shared" si="11"/>
        <v>0.1950749594</v>
      </c>
      <c r="J32" s="235">
        <f t="shared" si="11"/>
        <v>0.05811892834</v>
      </c>
      <c r="K32" s="235">
        <f t="shared" si="11"/>
        <v>-0.1134976424</v>
      </c>
      <c r="L32" s="236">
        <f t="shared" si="11"/>
        <v>0.4501044589</v>
      </c>
      <c r="M32" s="236">
        <f t="shared" si="11"/>
        <v>0.1290234045</v>
      </c>
      <c r="N32" s="236">
        <f t="shared" si="11"/>
        <v>0.1142787687</v>
      </c>
      <c r="O32" s="236">
        <f t="shared" si="11"/>
        <v>0</v>
      </c>
      <c r="P32" s="236">
        <f t="shared" si="11"/>
        <v>0</v>
      </c>
    </row>
    <row r="33" ht="12.75" customHeight="1">
      <c r="B33" s="154" t="s">
        <v>184</v>
      </c>
      <c r="D33" s="153" t="s">
        <v>185</v>
      </c>
      <c r="F33" s="202">
        <v>2539.0</v>
      </c>
      <c r="G33" s="78">
        <v>1998.0</v>
      </c>
      <c r="H33" s="78">
        <v>1824.0</v>
      </c>
      <c r="I33" s="78">
        <v>2153.0</v>
      </c>
      <c r="J33" s="78">
        <v>2132.0</v>
      </c>
      <c r="K33" s="78">
        <v>2078.0</v>
      </c>
      <c r="L33" s="223">
        <v>2150.0</v>
      </c>
      <c r="M33" s="223">
        <v>2150.0</v>
      </c>
      <c r="N33" s="223">
        <v>2150.0</v>
      </c>
      <c r="O33" s="223">
        <v>2150.0</v>
      </c>
      <c r="P33" s="223">
        <v>2150.0</v>
      </c>
    </row>
    <row r="34" ht="12.75" customHeight="1">
      <c r="B34" s="232" t="s">
        <v>194</v>
      </c>
      <c r="C34" s="232"/>
      <c r="D34" s="233" t="s">
        <v>32</v>
      </c>
      <c r="E34" s="232"/>
      <c r="F34" s="248"/>
      <c r="G34" s="235">
        <f t="shared" ref="G34:P34" si="12">+G33/F33-1</f>
        <v>-0.2130760142</v>
      </c>
      <c r="H34" s="235">
        <f t="shared" si="12"/>
        <v>-0.08708708709</v>
      </c>
      <c r="I34" s="235">
        <f t="shared" si="12"/>
        <v>0.180372807</v>
      </c>
      <c r="J34" s="235">
        <f t="shared" si="12"/>
        <v>-0.009753831863</v>
      </c>
      <c r="K34" s="235">
        <f t="shared" si="12"/>
        <v>-0.02532833021</v>
      </c>
      <c r="L34" s="236">
        <f t="shared" si="12"/>
        <v>0.03464870067</v>
      </c>
      <c r="M34" s="236">
        <f t="shared" si="12"/>
        <v>0</v>
      </c>
      <c r="N34" s="236">
        <f t="shared" si="12"/>
        <v>0</v>
      </c>
      <c r="O34" s="236">
        <f t="shared" si="12"/>
        <v>0</v>
      </c>
      <c r="P34" s="236">
        <f t="shared" si="12"/>
        <v>0</v>
      </c>
    </row>
    <row r="35" ht="12.75" customHeight="1">
      <c r="B35" s="154" t="s">
        <v>186</v>
      </c>
      <c r="D35" s="153" t="s">
        <v>187</v>
      </c>
      <c r="E35" s="154"/>
      <c r="F35" s="202">
        <v>50.5</v>
      </c>
      <c r="G35" s="78">
        <v>41.8</v>
      </c>
      <c r="H35" s="78">
        <v>56.2</v>
      </c>
      <c r="I35" s="78">
        <v>56.9</v>
      </c>
      <c r="J35" s="78">
        <v>60.8</v>
      </c>
      <c r="K35" s="78">
        <v>55.3</v>
      </c>
      <c r="L35" s="249">
        <f t="shared" ref="L35:P35" si="13">+L40+L41</f>
        <v>77.50531801</v>
      </c>
      <c r="M35" s="249">
        <f t="shared" si="13"/>
        <v>87.50531801</v>
      </c>
      <c r="N35" s="249">
        <f t="shared" si="13"/>
        <v>97.50531801</v>
      </c>
      <c r="O35" s="249">
        <f t="shared" si="13"/>
        <v>97.50531801</v>
      </c>
      <c r="P35" s="249">
        <f t="shared" si="13"/>
        <v>97.50531801</v>
      </c>
    </row>
    <row r="36" ht="12.75" customHeight="1">
      <c r="D36" s="153"/>
    </row>
    <row r="37" ht="12.75" customHeight="1">
      <c r="B37" s="78" t="s">
        <v>195</v>
      </c>
      <c r="D37" s="153"/>
      <c r="F37" s="78">
        <v>371.0</v>
      </c>
      <c r="G37" s="78">
        <v>299.0</v>
      </c>
      <c r="H37" s="78">
        <v>231.0</v>
      </c>
      <c r="I37" s="78">
        <v>279.0</v>
      </c>
      <c r="J37" s="78">
        <v>275.0</v>
      </c>
      <c r="K37" s="78">
        <v>620.0</v>
      </c>
    </row>
    <row r="38" ht="12.75" customHeight="1">
      <c r="B38" s="154" t="s">
        <v>189</v>
      </c>
      <c r="D38" s="153"/>
      <c r="F38" s="225">
        <f>+F35/AVERAGE(D37:F37)</f>
        <v>0.1361185984</v>
      </c>
      <c r="G38" s="225">
        <f t="shared" ref="G38:K38" si="14">+G35/AVERAGE(F37:G37)</f>
        <v>0.1247761194</v>
      </c>
      <c r="H38" s="225">
        <f t="shared" si="14"/>
        <v>0.2120754717</v>
      </c>
      <c r="I38" s="225">
        <f t="shared" si="14"/>
        <v>0.2231372549</v>
      </c>
      <c r="J38" s="225">
        <f t="shared" si="14"/>
        <v>0.2194945848</v>
      </c>
      <c r="K38" s="225">
        <f t="shared" si="14"/>
        <v>0.123575419</v>
      </c>
    </row>
    <row r="39" ht="12.75" customHeight="1">
      <c r="D39" s="153"/>
    </row>
    <row r="40" ht="12.75" customHeight="1">
      <c r="B40" s="154" t="s">
        <v>190</v>
      </c>
      <c r="C40" s="250">
        <f>+AVERAGE(F38:K38)</f>
        <v>0.1731962414</v>
      </c>
      <c r="E40" s="211"/>
      <c r="L40" s="251">
        <f t="shared" ref="L40:P40" si="15">+$C$40*AVERAGE($J$37:$K$37)</f>
        <v>77.50531801</v>
      </c>
      <c r="M40" s="251">
        <f t="shared" si="15"/>
        <v>77.50531801</v>
      </c>
      <c r="N40" s="251">
        <f t="shared" si="15"/>
        <v>77.50531801</v>
      </c>
      <c r="O40" s="251">
        <f t="shared" si="15"/>
        <v>77.50531801</v>
      </c>
      <c r="P40" s="251">
        <f t="shared" si="15"/>
        <v>77.50531801</v>
      </c>
    </row>
    <row r="41" ht="12.75" customHeight="1">
      <c r="B41" s="154" t="s">
        <v>191</v>
      </c>
      <c r="D41" s="153" t="s">
        <v>187</v>
      </c>
      <c r="L41" s="247">
        <v>0.0</v>
      </c>
      <c r="M41" s="247">
        <f>20*50%</f>
        <v>10</v>
      </c>
      <c r="N41" s="247">
        <v>20.0</v>
      </c>
      <c r="O41" s="247">
        <v>20.0</v>
      </c>
      <c r="P41" s="247">
        <v>20.0</v>
      </c>
    </row>
    <row r="42" ht="12.75" customHeight="1"/>
    <row r="43" ht="12.75" customHeight="1">
      <c r="B43" s="227" t="s">
        <v>196</v>
      </c>
      <c r="D43" s="153"/>
      <c r="F43" s="202"/>
      <c r="L43" s="228"/>
      <c r="M43" s="228"/>
      <c r="N43" s="228"/>
      <c r="O43" s="228"/>
      <c r="P43" s="228"/>
    </row>
    <row r="44" ht="12.75" customHeight="1">
      <c r="B44" s="196" t="s">
        <v>197</v>
      </c>
      <c r="D44" s="153"/>
      <c r="F44" s="229">
        <f t="shared" ref="F44:P44" si="16">+F46*F48</f>
        <v>25894.6</v>
      </c>
      <c r="G44" s="230">
        <f t="shared" si="16"/>
        <v>19436.8</v>
      </c>
      <c r="H44" s="230">
        <f t="shared" si="16"/>
        <v>37206</v>
      </c>
      <c r="I44" s="230">
        <f t="shared" si="16"/>
        <v>43013.4</v>
      </c>
      <c r="J44" s="230">
        <f t="shared" si="16"/>
        <v>47196.8</v>
      </c>
      <c r="K44" s="230">
        <f t="shared" si="16"/>
        <v>42630</v>
      </c>
      <c r="L44" s="223">
        <f t="shared" si="16"/>
        <v>46292.41223</v>
      </c>
      <c r="M44" s="223">
        <f t="shared" si="16"/>
        <v>100049.8528</v>
      </c>
      <c r="N44" s="223">
        <f t="shared" si="16"/>
        <v>151749.8528</v>
      </c>
      <c r="O44" s="223">
        <f t="shared" si="16"/>
        <v>151749.8528</v>
      </c>
      <c r="P44" s="223">
        <f t="shared" si="16"/>
        <v>151749.8528</v>
      </c>
    </row>
    <row r="45" ht="12.75" customHeight="1">
      <c r="B45" s="196" t="s">
        <v>183</v>
      </c>
      <c r="D45" s="153" t="s">
        <v>32</v>
      </c>
      <c r="F45" s="230"/>
      <c r="G45" s="225">
        <f t="shared" ref="G45:P45" si="17">+G44/F44-1</f>
        <v>-0.2493879033</v>
      </c>
      <c r="H45" s="225">
        <f t="shared" si="17"/>
        <v>0.9142039842</v>
      </c>
      <c r="I45" s="225">
        <f t="shared" si="17"/>
        <v>0.1560877278</v>
      </c>
      <c r="J45" s="225">
        <f t="shared" si="17"/>
        <v>0.09725806377</v>
      </c>
      <c r="K45" s="225">
        <f t="shared" si="17"/>
        <v>-0.09676079734</v>
      </c>
      <c r="L45" s="226">
        <f t="shared" si="17"/>
        <v>0.08591161691</v>
      </c>
      <c r="M45" s="226">
        <f t="shared" si="17"/>
        <v>1.16125814</v>
      </c>
      <c r="N45" s="226">
        <f t="shared" si="17"/>
        <v>0.5167423896</v>
      </c>
      <c r="O45" s="226">
        <f t="shared" si="17"/>
        <v>0</v>
      </c>
      <c r="P45" s="226">
        <f t="shared" si="17"/>
        <v>0</v>
      </c>
    </row>
    <row r="46" ht="12.75" customHeight="1">
      <c r="B46" s="154" t="s">
        <v>184</v>
      </c>
      <c r="D46" s="153" t="s">
        <v>185</v>
      </c>
      <c r="F46" s="202">
        <v>6022.0</v>
      </c>
      <c r="G46" s="230">
        <v>6074.0</v>
      </c>
      <c r="H46" s="230">
        <v>8268.0</v>
      </c>
      <c r="I46" s="230">
        <v>8434.0</v>
      </c>
      <c r="J46" s="230">
        <v>8428.0</v>
      </c>
      <c r="K46" s="230">
        <v>8700.0</v>
      </c>
      <c r="L46" s="223">
        <v>9000.0</v>
      </c>
      <c r="M46" s="223">
        <v>9400.0</v>
      </c>
      <c r="N46" s="223">
        <v>9400.0</v>
      </c>
      <c r="O46" s="223">
        <v>9400.0</v>
      </c>
      <c r="P46" s="223">
        <v>9400.0</v>
      </c>
    </row>
    <row r="47" ht="12.75" customHeight="1">
      <c r="B47" s="232" t="s">
        <v>183</v>
      </c>
      <c r="C47" s="232"/>
      <c r="D47" s="233" t="s">
        <v>32</v>
      </c>
      <c r="E47" s="232"/>
      <c r="F47" s="248"/>
      <c r="G47" s="235">
        <f t="shared" ref="G47:P47" si="18">+G46/F46-1</f>
        <v>0.008635004982</v>
      </c>
      <c r="H47" s="235">
        <f t="shared" si="18"/>
        <v>0.3612117221</v>
      </c>
      <c r="I47" s="235">
        <f t="shared" si="18"/>
        <v>0.02007740687</v>
      </c>
      <c r="J47" s="235">
        <f t="shared" si="18"/>
        <v>-0.0007114062129</v>
      </c>
      <c r="K47" s="235">
        <f t="shared" si="18"/>
        <v>0.03227337447</v>
      </c>
      <c r="L47" s="236">
        <f t="shared" si="18"/>
        <v>0.03448275862</v>
      </c>
      <c r="M47" s="236">
        <f t="shared" si="18"/>
        <v>0.04444444444</v>
      </c>
      <c r="N47" s="236">
        <f t="shared" si="18"/>
        <v>0</v>
      </c>
      <c r="O47" s="236">
        <f t="shared" si="18"/>
        <v>0</v>
      </c>
      <c r="P47" s="236">
        <f t="shared" si="18"/>
        <v>0</v>
      </c>
    </row>
    <row r="48" ht="12.75" customHeight="1">
      <c r="B48" s="154" t="s">
        <v>186</v>
      </c>
      <c r="D48" s="153" t="s">
        <v>187</v>
      </c>
      <c r="F48" s="202">
        <v>4.3</v>
      </c>
      <c r="G48" s="78">
        <v>3.2</v>
      </c>
      <c r="H48" s="78">
        <v>4.5</v>
      </c>
      <c r="I48" s="78">
        <v>5.1</v>
      </c>
      <c r="J48" s="78">
        <v>5.6</v>
      </c>
      <c r="K48" s="78">
        <v>4.9</v>
      </c>
      <c r="L48" s="252">
        <f t="shared" ref="L48:P48" si="19">+L53+L54</f>
        <v>5.143601359</v>
      </c>
      <c r="M48" s="252">
        <f t="shared" si="19"/>
        <v>10.64360136</v>
      </c>
      <c r="N48" s="252">
        <f t="shared" si="19"/>
        <v>16.14360136</v>
      </c>
      <c r="O48" s="252">
        <f t="shared" si="19"/>
        <v>16.14360136</v>
      </c>
      <c r="P48" s="252">
        <f t="shared" si="19"/>
        <v>16.14360136</v>
      </c>
    </row>
    <row r="49" ht="12.75" customHeight="1">
      <c r="D49" s="153"/>
    </row>
    <row r="50" ht="12.75" customHeight="1">
      <c r="B50" s="154" t="s">
        <v>188</v>
      </c>
      <c r="D50" s="153" t="s">
        <v>187</v>
      </c>
      <c r="E50" s="154"/>
      <c r="F50" s="78">
        <v>65.4</v>
      </c>
      <c r="G50" s="78">
        <v>27.7</v>
      </c>
      <c r="H50" s="78">
        <v>23.5</v>
      </c>
      <c r="I50" s="78">
        <v>31.5</v>
      </c>
      <c r="J50" s="78">
        <v>29.7</v>
      </c>
      <c r="K50" s="78">
        <v>46.8</v>
      </c>
    </row>
    <row r="51" ht="12.75" customHeight="1">
      <c r="B51" s="154" t="s">
        <v>189</v>
      </c>
      <c r="D51" s="153"/>
      <c r="F51" s="225">
        <f>+F48/AVERAGE(D50:F50)</f>
        <v>0.06574923547</v>
      </c>
      <c r="G51" s="225">
        <f t="shared" ref="G51:K51" si="20">+G48/AVERAGE(F50:G50)</f>
        <v>0.06874328679</v>
      </c>
      <c r="H51" s="225">
        <f t="shared" si="20"/>
        <v>0.17578125</v>
      </c>
      <c r="I51" s="225">
        <f t="shared" si="20"/>
        <v>0.1854545455</v>
      </c>
      <c r="J51" s="225">
        <f t="shared" si="20"/>
        <v>0.1830065359</v>
      </c>
      <c r="K51" s="225">
        <f t="shared" si="20"/>
        <v>0.1281045752</v>
      </c>
    </row>
    <row r="52" ht="12.75" customHeight="1">
      <c r="D52" s="153"/>
    </row>
    <row r="53" ht="12.75" customHeight="1">
      <c r="B53" s="154" t="s">
        <v>190</v>
      </c>
      <c r="C53" s="250">
        <f>+AVERAGE(F51:K51)</f>
        <v>0.1344732381</v>
      </c>
      <c r="E53" s="224"/>
      <c r="L53" s="251">
        <f t="shared" ref="L53:P53" si="21">+$C$53*AVERAGE($J$50:$K$50)</f>
        <v>5.143601359</v>
      </c>
      <c r="M53" s="251">
        <f t="shared" si="21"/>
        <v>5.143601359</v>
      </c>
      <c r="N53" s="251">
        <f t="shared" si="21"/>
        <v>5.143601359</v>
      </c>
      <c r="O53" s="251">
        <f t="shared" si="21"/>
        <v>5.143601359</v>
      </c>
      <c r="P53" s="251">
        <f t="shared" si="21"/>
        <v>5.143601359</v>
      </c>
    </row>
    <row r="54" ht="12.75" customHeight="1">
      <c r="B54" s="154" t="s">
        <v>191</v>
      </c>
      <c r="D54" s="153" t="s">
        <v>187</v>
      </c>
      <c r="E54" s="154"/>
      <c r="L54" s="247">
        <v>0.0</v>
      </c>
      <c r="M54" s="247">
        <f>11*50%</f>
        <v>5.5</v>
      </c>
      <c r="N54" s="247">
        <f t="shared" ref="N54:P54" si="22">11*100%</f>
        <v>11</v>
      </c>
      <c r="O54" s="247">
        <f t="shared" si="22"/>
        <v>11</v>
      </c>
      <c r="P54" s="247">
        <f t="shared" si="22"/>
        <v>11</v>
      </c>
    </row>
    <row r="55" ht="12.75" customHeight="1">
      <c r="D55" s="153"/>
    </row>
    <row r="56" ht="12.75" customHeight="1">
      <c r="B56" s="227" t="s">
        <v>198</v>
      </c>
      <c r="D56" s="153"/>
      <c r="F56" s="202"/>
      <c r="L56" s="228"/>
      <c r="M56" s="228"/>
      <c r="N56" s="228"/>
      <c r="O56" s="228"/>
      <c r="P56" s="228"/>
    </row>
    <row r="57" ht="12.75" customHeight="1">
      <c r="B57" s="196" t="s">
        <v>199</v>
      </c>
      <c r="D57" s="153"/>
      <c r="F57" s="238">
        <f t="shared" ref="F57:P57" si="23">+F59*F61</f>
        <v>251.16</v>
      </c>
      <c r="G57" s="195">
        <f t="shared" si="23"/>
        <v>242</v>
      </c>
      <c r="H57" s="195">
        <f t="shared" si="23"/>
        <v>300</v>
      </c>
      <c r="I57" s="195">
        <f t="shared" si="23"/>
        <v>316.8</v>
      </c>
      <c r="J57" s="195">
        <f t="shared" si="23"/>
        <v>354.96</v>
      </c>
      <c r="K57" s="195">
        <f t="shared" si="23"/>
        <v>394.8</v>
      </c>
      <c r="L57" s="249">
        <f t="shared" si="23"/>
        <v>452.0341</v>
      </c>
      <c r="M57" s="249">
        <f t="shared" si="23"/>
        <v>411.4072883</v>
      </c>
      <c r="N57" s="249">
        <f t="shared" si="23"/>
        <v>423.5177883</v>
      </c>
      <c r="O57" s="249">
        <f t="shared" si="23"/>
        <v>423.5177883</v>
      </c>
      <c r="P57" s="249">
        <f t="shared" si="23"/>
        <v>423.5177883</v>
      </c>
    </row>
    <row r="58" ht="12.75" customHeight="1">
      <c r="B58" s="232" t="s">
        <v>194</v>
      </c>
      <c r="C58" s="232"/>
      <c r="D58" s="233" t="s">
        <v>32</v>
      </c>
      <c r="E58" s="232"/>
      <c r="F58" s="234"/>
      <c r="G58" s="235">
        <f t="shared" ref="G58:P58" si="24">+G57/F57-1</f>
        <v>-0.0364707756</v>
      </c>
      <c r="H58" s="235">
        <f t="shared" si="24"/>
        <v>0.2396694215</v>
      </c>
      <c r="I58" s="235">
        <f t="shared" si="24"/>
        <v>0.056</v>
      </c>
      <c r="J58" s="235">
        <f t="shared" si="24"/>
        <v>0.1204545455</v>
      </c>
      <c r="K58" s="235">
        <f t="shared" si="24"/>
        <v>0.1122379986</v>
      </c>
      <c r="L58" s="236">
        <f t="shared" si="24"/>
        <v>0.1449698581</v>
      </c>
      <c r="M58" s="236">
        <f t="shared" si="24"/>
        <v>-0.08987554626</v>
      </c>
      <c r="N58" s="236">
        <f t="shared" si="24"/>
        <v>0.02943676581</v>
      </c>
      <c r="O58" s="236">
        <f t="shared" si="24"/>
        <v>0</v>
      </c>
      <c r="P58" s="236">
        <f t="shared" si="24"/>
        <v>0</v>
      </c>
    </row>
    <row r="59" ht="12.75" customHeight="1">
      <c r="B59" s="154" t="s">
        <v>184</v>
      </c>
      <c r="D59" s="153" t="s">
        <v>200</v>
      </c>
      <c r="F59" s="202">
        <v>16.1</v>
      </c>
      <c r="G59" s="243">
        <v>20.0</v>
      </c>
      <c r="H59" s="243">
        <v>20.0</v>
      </c>
      <c r="I59" s="243">
        <v>22.0</v>
      </c>
      <c r="J59" s="243">
        <v>23.2</v>
      </c>
      <c r="K59" s="78">
        <v>28.2</v>
      </c>
      <c r="L59" s="252">
        <v>30.0</v>
      </c>
      <c r="M59" s="252">
        <v>26.5</v>
      </c>
      <c r="N59" s="252">
        <v>26.5</v>
      </c>
      <c r="O59" s="252">
        <v>26.5</v>
      </c>
      <c r="P59" s="252">
        <v>26.5</v>
      </c>
    </row>
    <row r="60" ht="12.75" customHeight="1">
      <c r="B60" s="232" t="s">
        <v>194</v>
      </c>
      <c r="C60" s="232"/>
      <c r="D60" s="233" t="s">
        <v>32</v>
      </c>
      <c r="E60" s="232"/>
      <c r="F60" s="248"/>
      <c r="G60" s="235">
        <f t="shared" ref="G60:P60" si="25">+G59/F59-1</f>
        <v>0.2422360248</v>
      </c>
      <c r="H60" s="235">
        <f t="shared" si="25"/>
        <v>0</v>
      </c>
      <c r="I60" s="235">
        <f t="shared" si="25"/>
        <v>0.1</v>
      </c>
      <c r="J60" s="235">
        <f t="shared" si="25"/>
        <v>0.05454545455</v>
      </c>
      <c r="K60" s="235">
        <f t="shared" si="25"/>
        <v>0.2155172414</v>
      </c>
      <c r="L60" s="236">
        <f t="shared" si="25"/>
        <v>0.06382978723</v>
      </c>
      <c r="M60" s="236">
        <f t="shared" si="25"/>
        <v>-0.1166666667</v>
      </c>
      <c r="N60" s="236">
        <f t="shared" si="25"/>
        <v>0</v>
      </c>
      <c r="O60" s="236">
        <f t="shared" si="25"/>
        <v>0</v>
      </c>
      <c r="P60" s="236">
        <f t="shared" si="25"/>
        <v>0</v>
      </c>
    </row>
    <row r="61" ht="12.75" customHeight="1">
      <c r="B61" s="154" t="s">
        <v>186</v>
      </c>
      <c r="D61" s="153" t="s">
        <v>201</v>
      </c>
      <c r="E61" s="154"/>
      <c r="F61" s="238">
        <v>15.6</v>
      </c>
      <c r="G61" s="78">
        <v>12.1</v>
      </c>
      <c r="H61" s="243">
        <v>15.0</v>
      </c>
      <c r="I61" s="243">
        <v>14.4</v>
      </c>
      <c r="J61" s="243">
        <v>15.3</v>
      </c>
      <c r="K61" s="243">
        <v>14.0</v>
      </c>
      <c r="L61" s="252">
        <f>+L66+L67</f>
        <v>15.06780333</v>
      </c>
      <c r="M61" s="252">
        <f t="shared" ref="M61:P61" si="26">+M66+M67/1000</f>
        <v>15.52480333</v>
      </c>
      <c r="N61" s="252">
        <f t="shared" si="26"/>
        <v>15.98180333</v>
      </c>
      <c r="O61" s="252">
        <f t="shared" si="26"/>
        <v>15.98180333</v>
      </c>
      <c r="P61" s="252">
        <f t="shared" si="26"/>
        <v>15.98180333</v>
      </c>
    </row>
    <row r="62" ht="12.75" customHeight="1">
      <c r="D62" s="153"/>
    </row>
    <row r="63" ht="12.75" customHeight="1">
      <c r="B63" s="154" t="s">
        <v>202</v>
      </c>
      <c r="D63" s="153"/>
      <c r="E63" s="154"/>
      <c r="F63" s="202">
        <v>99.0</v>
      </c>
      <c r="G63" s="243">
        <v>75.0</v>
      </c>
      <c r="H63" s="243">
        <v>61.0</v>
      </c>
      <c r="I63" s="243">
        <v>75.0</v>
      </c>
      <c r="J63" s="243">
        <v>64.0</v>
      </c>
      <c r="K63" s="243">
        <v>97.0</v>
      </c>
      <c r="L63" s="35"/>
      <c r="M63" s="35"/>
      <c r="N63" s="35"/>
      <c r="O63" s="253"/>
      <c r="P63" s="35"/>
    </row>
    <row r="64" ht="12.75" customHeight="1">
      <c r="B64" s="232" t="s">
        <v>189</v>
      </c>
      <c r="C64" s="232"/>
      <c r="D64" s="233"/>
      <c r="E64" s="232"/>
      <c r="F64" s="235">
        <f>+F61/AVERAGE(D63:F63)</f>
        <v>0.1575757576</v>
      </c>
      <c r="G64" s="235">
        <f t="shared" ref="G64:K64" si="27">+G61/AVERAGE(F63:G63)</f>
        <v>0.1390804598</v>
      </c>
      <c r="H64" s="235">
        <f t="shared" si="27"/>
        <v>0.2205882353</v>
      </c>
      <c r="I64" s="235">
        <f t="shared" si="27"/>
        <v>0.2117647059</v>
      </c>
      <c r="J64" s="235">
        <f t="shared" si="27"/>
        <v>0.2201438849</v>
      </c>
      <c r="K64" s="235">
        <f t="shared" si="27"/>
        <v>0.1739130435</v>
      </c>
      <c r="L64" s="254"/>
      <c r="M64" s="254"/>
      <c r="N64" s="254"/>
      <c r="O64" s="254"/>
      <c r="P64" s="254"/>
      <c r="Q64" s="202"/>
    </row>
    <row r="65" ht="12.75" customHeight="1">
      <c r="D65" s="153"/>
      <c r="F65" s="202"/>
      <c r="L65" s="35"/>
      <c r="M65" s="35"/>
      <c r="N65" s="35"/>
      <c r="O65" s="35"/>
      <c r="P65" s="35"/>
      <c r="Q65" s="202"/>
    </row>
    <row r="66" ht="12.75" customHeight="1">
      <c r="B66" s="154" t="s">
        <v>190</v>
      </c>
      <c r="C66" s="250">
        <f>+AVERAGE(F64:K64)</f>
        <v>0.1871776811</v>
      </c>
      <c r="E66" s="224"/>
      <c r="F66" s="202"/>
      <c r="L66" s="252">
        <f t="shared" ref="L66:P66" si="28">+$C$66*AVERAGE($J$63:$K$63)</f>
        <v>15.06780333</v>
      </c>
      <c r="M66" s="252">
        <f t="shared" si="28"/>
        <v>15.06780333</v>
      </c>
      <c r="N66" s="252">
        <f t="shared" si="28"/>
        <v>15.06780333</v>
      </c>
      <c r="O66" s="252">
        <f t="shared" si="28"/>
        <v>15.06780333</v>
      </c>
      <c r="P66" s="252">
        <f t="shared" si="28"/>
        <v>15.06780333</v>
      </c>
      <c r="Q66" s="202"/>
    </row>
    <row r="67" ht="12.75" customHeight="1">
      <c r="B67" s="154" t="s">
        <v>191</v>
      </c>
      <c r="D67" s="153" t="s">
        <v>203</v>
      </c>
      <c r="E67" s="154"/>
      <c r="F67" s="255"/>
      <c r="G67" s="243"/>
      <c r="H67" s="243"/>
      <c r="I67" s="243"/>
      <c r="J67" s="243"/>
      <c r="K67" s="243"/>
      <c r="L67" s="252">
        <v>0.0</v>
      </c>
      <c r="M67" s="252">
        <f>914*50%</f>
        <v>457</v>
      </c>
      <c r="N67" s="252">
        <f t="shared" ref="N67:P67" si="29">914*100%</f>
        <v>914</v>
      </c>
      <c r="O67" s="252">
        <f t="shared" si="29"/>
        <v>914</v>
      </c>
      <c r="P67" s="252">
        <f t="shared" si="29"/>
        <v>914</v>
      </c>
      <c r="Q67" s="202"/>
    </row>
    <row r="68" ht="12.75" customHeight="1">
      <c r="Q68" s="202"/>
    </row>
    <row r="69" ht="12.75" customHeight="1">
      <c r="Q69" s="202"/>
    </row>
    <row r="70" ht="12.75" customHeight="1">
      <c r="A70" s="153" t="s">
        <v>33</v>
      </c>
      <c r="B70" s="208" t="s">
        <v>204</v>
      </c>
      <c r="C70" s="220"/>
      <c r="D70" s="221"/>
      <c r="E70" s="221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</row>
    <row r="71" ht="12.75" customHeight="1">
      <c r="D71" s="153"/>
      <c r="E71" s="153"/>
      <c r="M71" s="202"/>
    </row>
    <row r="72" ht="12.75" customHeight="1">
      <c r="B72" s="154" t="s">
        <v>205</v>
      </c>
      <c r="D72" s="153" t="s">
        <v>36</v>
      </c>
      <c r="E72" s="153"/>
      <c r="F72" s="126">
        <f t="shared" ref="F72:K72" si="30">+F77-F74-F75-F76</f>
        <v>445.219</v>
      </c>
      <c r="G72" s="126">
        <f t="shared" si="30"/>
        <v>373.69</v>
      </c>
      <c r="H72" s="126">
        <f t="shared" si="30"/>
        <v>473.27</v>
      </c>
      <c r="I72" s="126">
        <f t="shared" si="30"/>
        <v>550.612</v>
      </c>
      <c r="J72" s="126">
        <f t="shared" si="30"/>
        <v>531.438</v>
      </c>
      <c r="K72" s="126">
        <f t="shared" si="30"/>
        <v>522.649</v>
      </c>
      <c r="L72" s="127">
        <f t="shared" ref="L72:P72" si="31">L14*L73</f>
        <v>501.8381821</v>
      </c>
      <c r="M72" s="127">
        <f t="shared" si="31"/>
        <v>579.8363213</v>
      </c>
      <c r="N72" s="127">
        <f t="shared" si="31"/>
        <v>643.6150334</v>
      </c>
      <c r="O72" s="127">
        <f t="shared" si="31"/>
        <v>643.6150334</v>
      </c>
      <c r="P72" s="127">
        <f t="shared" si="31"/>
        <v>664.5640668</v>
      </c>
    </row>
    <row r="73" ht="12.75" customHeight="1">
      <c r="B73" s="154" t="s">
        <v>206</v>
      </c>
      <c r="D73" s="153" t="s">
        <v>32</v>
      </c>
      <c r="E73" s="153"/>
      <c r="F73" s="225">
        <f t="shared" ref="F73:K73" si="32">F72/F14</f>
        <v>0.5987522493</v>
      </c>
      <c r="G73" s="225">
        <f t="shared" si="32"/>
        <v>0.6978742</v>
      </c>
      <c r="H73" s="225">
        <f t="shared" si="32"/>
        <v>0.5048757253</v>
      </c>
      <c r="I73" s="225">
        <f t="shared" si="32"/>
        <v>0.5788202248</v>
      </c>
      <c r="J73" s="225">
        <f t="shared" si="32"/>
        <v>0.6017964275</v>
      </c>
      <c r="K73" s="225">
        <f t="shared" si="32"/>
        <v>0.5441307374</v>
      </c>
      <c r="L73" s="226">
        <f t="shared" ref="L73:P73" si="33">K73</f>
        <v>0.5441307374</v>
      </c>
      <c r="M73" s="226">
        <f t="shared" si="33"/>
        <v>0.5441307374</v>
      </c>
      <c r="N73" s="226">
        <f t="shared" si="33"/>
        <v>0.5441307374</v>
      </c>
      <c r="O73" s="226">
        <f t="shared" si="33"/>
        <v>0.5441307374</v>
      </c>
      <c r="P73" s="226">
        <f t="shared" si="33"/>
        <v>0.5441307374</v>
      </c>
    </row>
    <row r="74" ht="12.75" customHeight="1">
      <c r="B74" s="154" t="s">
        <v>207</v>
      </c>
      <c r="D74" s="153" t="s">
        <v>36</v>
      </c>
      <c r="E74" s="153"/>
      <c r="F74" s="256">
        <f>(108232-18302)/1000</f>
        <v>89.93</v>
      </c>
      <c r="G74" s="256">
        <f>(97189-15350)/1000</f>
        <v>81.839</v>
      </c>
      <c r="H74" s="256">
        <f>(92025-4058)/1000</f>
        <v>87.967</v>
      </c>
      <c r="I74" s="256">
        <f>(107864-5952)/1000</f>
        <v>101.912</v>
      </c>
      <c r="J74" s="256">
        <f>(105240-4568)/1000</f>
        <v>100.672</v>
      </c>
      <c r="K74" s="256">
        <f>(108424-6700)/1000</f>
        <v>101.724</v>
      </c>
      <c r="L74" s="257">
        <f t="shared" ref="L74:P74" si="34">L122</f>
        <v>0.7115038964</v>
      </c>
      <c r="M74" s="257">
        <f t="shared" si="34"/>
        <v>2.245097097</v>
      </c>
      <c r="N74" s="257">
        <f t="shared" si="34"/>
        <v>3.157611569</v>
      </c>
      <c r="O74" s="257">
        <f t="shared" si="34"/>
        <v>4.070126042</v>
      </c>
      <c r="P74" s="257">
        <f t="shared" si="34"/>
        <v>5.011003587</v>
      </c>
    </row>
    <row r="75" ht="12.75" customHeight="1">
      <c r="B75" s="154" t="s">
        <v>208</v>
      </c>
      <c r="D75" s="153" t="s">
        <v>36</v>
      </c>
      <c r="E75" s="153"/>
      <c r="F75" s="258">
        <f>18302/1000</f>
        <v>18.302</v>
      </c>
      <c r="G75" s="258">
        <f>15350/1000</f>
        <v>15.35</v>
      </c>
      <c r="H75" s="258">
        <f>4058/1000</f>
        <v>4.058</v>
      </c>
      <c r="I75" s="258">
        <f>5952/1000</f>
        <v>5.952</v>
      </c>
      <c r="J75" s="258">
        <f>4568/1000</f>
        <v>4.568</v>
      </c>
      <c r="K75" s="258">
        <f>6700/1000</f>
        <v>6.7</v>
      </c>
      <c r="L75" s="257">
        <f t="shared" ref="L75:P75" si="35">L135</f>
        <v>-8.172759536</v>
      </c>
      <c r="M75" s="257">
        <f t="shared" si="35"/>
        <v>-11.13208909</v>
      </c>
      <c r="N75" s="257">
        <f t="shared" si="35"/>
        <v>-8.018182389</v>
      </c>
      <c r="O75" s="257">
        <f t="shared" si="35"/>
        <v>-11.20121586</v>
      </c>
      <c r="P75" s="257">
        <f t="shared" si="35"/>
        <v>-14.78023437</v>
      </c>
    </row>
    <row r="76" ht="12.75" customHeight="1">
      <c r="B76" s="259" t="s">
        <v>209</v>
      </c>
      <c r="C76" s="259"/>
      <c r="D76" s="260" t="s">
        <v>36</v>
      </c>
      <c r="E76" s="260"/>
      <c r="F76" s="261">
        <f>66534/1000</f>
        <v>66.534</v>
      </c>
      <c r="G76" s="261">
        <f>42387/1000</f>
        <v>42.387</v>
      </c>
      <c r="H76" s="261">
        <f>90736/1000</f>
        <v>90.736</v>
      </c>
      <c r="I76" s="261">
        <f>104267/1000</f>
        <v>104.267</v>
      </c>
      <c r="J76" s="261">
        <f>88829/1000</f>
        <v>88.829</v>
      </c>
      <c r="K76" s="261">
        <f>68515/1000</f>
        <v>68.515</v>
      </c>
      <c r="L76" s="262">
        <f t="shared" ref="L76:P76" si="36">L149</f>
        <v>77.40299651</v>
      </c>
      <c r="M76" s="262">
        <f t="shared" si="36"/>
        <v>81.36674244</v>
      </c>
      <c r="N76" s="262">
        <f t="shared" si="36"/>
        <v>85.85002306</v>
      </c>
      <c r="O76" s="262">
        <f t="shared" si="36"/>
        <v>90.5670178</v>
      </c>
      <c r="P76" s="262">
        <f t="shared" si="36"/>
        <v>95.3607793</v>
      </c>
    </row>
    <row r="77" ht="12.75" customHeight="1">
      <c r="B77" s="196" t="s">
        <v>210</v>
      </c>
      <c r="D77" s="263" t="s">
        <v>36</v>
      </c>
      <c r="E77" s="263"/>
      <c r="F77" s="264">
        <f>-Buildup!E7</f>
        <v>619.985</v>
      </c>
      <c r="G77" s="264">
        <f>-Buildup!F7</f>
        <v>513.266</v>
      </c>
      <c r="H77" s="264">
        <f>-Buildup!G7</f>
        <v>656.031</v>
      </c>
      <c r="I77" s="264">
        <f>-Buildup!H7</f>
        <v>762.743</v>
      </c>
      <c r="J77" s="264">
        <f>-Buildup!I7</f>
        <v>725.507</v>
      </c>
      <c r="K77" s="264">
        <f>-Buildup!J7</f>
        <v>699.588</v>
      </c>
      <c r="L77" s="265">
        <f t="shared" ref="L77:P77" si="37">SUM(L72,L74:L76)</f>
        <v>571.779923</v>
      </c>
      <c r="M77" s="265">
        <f t="shared" si="37"/>
        <v>652.3160717</v>
      </c>
      <c r="N77" s="265">
        <f t="shared" si="37"/>
        <v>724.6044856</v>
      </c>
      <c r="O77" s="265">
        <f t="shared" si="37"/>
        <v>727.0509614</v>
      </c>
      <c r="P77" s="265">
        <f t="shared" si="37"/>
        <v>750.1556153</v>
      </c>
    </row>
    <row r="78" ht="12.75" customHeight="1">
      <c r="D78" s="153"/>
      <c r="E78" s="153"/>
      <c r="F78" s="266"/>
      <c r="G78" s="266"/>
      <c r="H78" s="266"/>
      <c r="I78" s="266"/>
      <c r="J78" s="266"/>
      <c r="K78" s="266"/>
      <c r="M78" s="202"/>
    </row>
    <row r="79" ht="12.75" customHeight="1">
      <c r="A79" s="153" t="s">
        <v>33</v>
      </c>
      <c r="B79" s="208" t="s">
        <v>211</v>
      </c>
      <c r="C79" s="208"/>
      <c r="D79" s="209"/>
      <c r="E79" s="209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</row>
    <row r="80" ht="12.75" customHeight="1">
      <c r="A80" s="153"/>
      <c r="D80" s="153"/>
      <c r="E80" s="153"/>
    </row>
    <row r="81" ht="12.75" customHeight="1">
      <c r="A81" s="153"/>
      <c r="B81" s="196" t="s">
        <v>212</v>
      </c>
      <c r="D81" s="153"/>
      <c r="E81" s="153"/>
    </row>
    <row r="82" ht="12.75" customHeight="1">
      <c r="A82" s="153"/>
      <c r="B82" s="154" t="s">
        <v>213</v>
      </c>
      <c r="D82" s="153" t="s">
        <v>36</v>
      </c>
      <c r="E82" s="153"/>
      <c r="F82" s="195">
        <f t="shared" ref="F82:K82" si="38">+F87-F84-F85-F86</f>
        <v>23.155</v>
      </c>
      <c r="G82" s="195">
        <f t="shared" si="38"/>
        <v>15.355</v>
      </c>
      <c r="H82" s="195">
        <f t="shared" si="38"/>
        <v>21.034</v>
      </c>
      <c r="I82" s="195">
        <f t="shared" si="38"/>
        <v>24.756</v>
      </c>
      <c r="J82" s="195">
        <f t="shared" si="38"/>
        <v>30.52</v>
      </c>
      <c r="K82" s="195">
        <f t="shared" si="38"/>
        <v>29.015</v>
      </c>
      <c r="L82" s="257">
        <f t="shared" ref="L82:P82" si="39">L83*L14</f>
        <v>27.91186973</v>
      </c>
      <c r="M82" s="257">
        <f t="shared" si="39"/>
        <v>33.75610302</v>
      </c>
      <c r="N82" s="257">
        <f t="shared" si="39"/>
        <v>36.33231294</v>
      </c>
      <c r="O82" s="257">
        <f t="shared" si="39"/>
        <v>36.53292994</v>
      </c>
      <c r="P82" s="257">
        <f t="shared" si="39"/>
        <v>37.9751998</v>
      </c>
    </row>
    <row r="83" ht="12.75" customHeight="1">
      <c r="A83" s="153"/>
      <c r="B83" s="154" t="s">
        <v>206</v>
      </c>
      <c r="D83" s="153" t="s">
        <v>32</v>
      </c>
      <c r="E83" s="153"/>
      <c r="F83" s="225">
        <f t="shared" ref="F83:K83" si="40">F82/F14</f>
        <v>0.03113997456</v>
      </c>
      <c r="G83" s="225">
        <f t="shared" si="40"/>
        <v>0.02867579636</v>
      </c>
      <c r="H83" s="225">
        <f t="shared" si="40"/>
        <v>0.02243868406</v>
      </c>
      <c r="I83" s="225">
        <f t="shared" si="40"/>
        <v>0.02602426661</v>
      </c>
      <c r="J83" s="225">
        <f t="shared" si="40"/>
        <v>0.03456062037</v>
      </c>
      <c r="K83" s="225">
        <f t="shared" si="40"/>
        <v>0.03020756444</v>
      </c>
      <c r="L83" s="226">
        <f t="shared" ref="L83:P83" si="41">AVERAGE(I83:K83)</f>
        <v>0.03026415047</v>
      </c>
      <c r="M83" s="226">
        <f t="shared" si="41"/>
        <v>0.03167744509</v>
      </c>
      <c r="N83" s="226">
        <f t="shared" si="41"/>
        <v>0.03071638667</v>
      </c>
      <c r="O83" s="226">
        <f t="shared" si="41"/>
        <v>0.03088599408</v>
      </c>
      <c r="P83" s="226">
        <f t="shared" si="41"/>
        <v>0.03109327528</v>
      </c>
    </row>
    <row r="84" ht="12.75" customHeight="1">
      <c r="A84" s="153"/>
      <c r="B84" s="154" t="s">
        <v>207</v>
      </c>
      <c r="C84" s="154"/>
      <c r="D84" s="153" t="s">
        <v>36</v>
      </c>
      <c r="E84" s="153"/>
      <c r="F84" s="267">
        <f>44/1000</f>
        <v>0.044</v>
      </c>
      <c r="G84" s="267">
        <f>80/1000</f>
        <v>0.08</v>
      </c>
      <c r="H84" s="267">
        <f>91/1000</f>
        <v>0.091</v>
      </c>
      <c r="I84" s="267">
        <f>96/1000</f>
        <v>0.096</v>
      </c>
      <c r="J84" s="267">
        <f>43/1000</f>
        <v>0.043</v>
      </c>
      <c r="K84" s="267">
        <f>66/1000</f>
        <v>0.066</v>
      </c>
      <c r="L84" s="257">
        <f t="shared" ref="L84:P84" si="42">L123</f>
        <v>0.0004789873811</v>
      </c>
      <c r="M84" s="257">
        <f t="shared" si="42"/>
        <v>0.001511408699</v>
      </c>
      <c r="N84" s="257">
        <f t="shared" si="42"/>
        <v>0.002125717236</v>
      </c>
      <c r="O84" s="257">
        <f t="shared" si="42"/>
        <v>0.002740025773</v>
      </c>
      <c r="P84" s="257">
        <f t="shared" si="42"/>
        <v>0.003373428447</v>
      </c>
    </row>
    <row r="85" ht="12.75" customHeight="1">
      <c r="A85" s="153"/>
      <c r="B85" s="154" t="s">
        <v>214</v>
      </c>
      <c r="C85" s="154"/>
      <c r="D85" s="153" t="s">
        <v>36</v>
      </c>
      <c r="E85" s="153"/>
      <c r="F85" s="267">
        <v>0.0</v>
      </c>
      <c r="G85" s="267">
        <v>0.0</v>
      </c>
      <c r="H85" s="267">
        <v>0.0</v>
      </c>
      <c r="I85" s="267">
        <v>0.0</v>
      </c>
      <c r="J85" s="267">
        <v>0.0</v>
      </c>
      <c r="K85" s="267">
        <v>0.0</v>
      </c>
      <c r="L85" s="257">
        <f t="shared" ref="L85:P85" si="43">L136</f>
        <v>0</v>
      </c>
      <c r="M85" s="257">
        <f t="shared" si="43"/>
        <v>0</v>
      </c>
      <c r="N85" s="257">
        <f t="shared" si="43"/>
        <v>0</v>
      </c>
      <c r="O85" s="257">
        <f t="shared" si="43"/>
        <v>0</v>
      </c>
      <c r="P85" s="257">
        <f t="shared" si="43"/>
        <v>0</v>
      </c>
    </row>
    <row r="86" ht="12.75" customHeight="1">
      <c r="A86" s="153"/>
      <c r="B86" s="259" t="s">
        <v>209</v>
      </c>
      <c r="C86" s="259"/>
      <c r="D86" s="260" t="s">
        <v>36</v>
      </c>
      <c r="E86" s="260"/>
      <c r="F86" s="268">
        <v>0.0</v>
      </c>
      <c r="G86" s="268">
        <v>0.0</v>
      </c>
      <c r="H86" s="268">
        <v>0.0</v>
      </c>
      <c r="I86" s="268">
        <v>0.0</v>
      </c>
      <c r="J86" s="268">
        <v>0.0</v>
      </c>
      <c r="K86" s="268">
        <v>0.0</v>
      </c>
      <c r="L86" s="262">
        <f t="shared" ref="L86:P86" si="44">L150</f>
        <v>0</v>
      </c>
      <c r="M86" s="262">
        <f t="shared" si="44"/>
        <v>0</v>
      </c>
      <c r="N86" s="262">
        <f t="shared" si="44"/>
        <v>0</v>
      </c>
      <c r="O86" s="262">
        <f t="shared" si="44"/>
        <v>0</v>
      </c>
      <c r="P86" s="262">
        <f t="shared" si="44"/>
        <v>0</v>
      </c>
    </row>
    <row r="87" ht="12.75" customHeight="1">
      <c r="A87" s="153"/>
      <c r="B87" s="196" t="s">
        <v>215</v>
      </c>
      <c r="D87" s="263" t="s">
        <v>36</v>
      </c>
      <c r="E87" s="263"/>
      <c r="F87" s="264">
        <f>+-Buildup!E11</f>
        <v>23.199</v>
      </c>
      <c r="G87" s="264">
        <f>+-Buildup!F11</f>
        <v>15.435</v>
      </c>
      <c r="H87" s="264">
        <f>+-Buildup!G11</f>
        <v>21.125</v>
      </c>
      <c r="I87" s="264">
        <f>+-Buildup!H11</f>
        <v>24.852</v>
      </c>
      <c r="J87" s="264">
        <f>+-Buildup!I11</f>
        <v>30.563</v>
      </c>
      <c r="K87" s="264">
        <f>+-Buildup!J11</f>
        <v>29.081</v>
      </c>
      <c r="L87" s="269">
        <f t="shared" ref="L87:P87" si="45">SUM(L82,L84:L86)</f>
        <v>27.91234871</v>
      </c>
      <c r="M87" s="269">
        <f t="shared" si="45"/>
        <v>33.75761443</v>
      </c>
      <c r="N87" s="269">
        <f t="shared" si="45"/>
        <v>36.33443866</v>
      </c>
      <c r="O87" s="269">
        <f t="shared" si="45"/>
        <v>36.53566997</v>
      </c>
      <c r="P87" s="269">
        <f t="shared" si="45"/>
        <v>37.97857323</v>
      </c>
    </row>
    <row r="88" ht="12.75" customHeight="1">
      <c r="A88" s="153"/>
      <c r="B88" s="154"/>
      <c r="C88" s="154"/>
      <c r="D88" s="153"/>
      <c r="E88" s="153"/>
    </row>
    <row r="89" ht="12.75" customHeight="1">
      <c r="A89" s="153"/>
      <c r="B89" s="196" t="s">
        <v>216</v>
      </c>
      <c r="D89" s="153"/>
      <c r="E89" s="153"/>
      <c r="F89" s="195"/>
      <c r="G89" s="195"/>
      <c r="H89" s="195"/>
      <c r="I89" s="195"/>
      <c r="J89" s="195"/>
      <c r="K89" s="195"/>
    </row>
    <row r="90" ht="12.75" customHeight="1">
      <c r="A90" s="153"/>
      <c r="B90" s="154" t="s">
        <v>217</v>
      </c>
      <c r="D90" s="153" t="s">
        <v>36</v>
      </c>
      <c r="E90" s="153"/>
      <c r="F90" s="195">
        <f t="shared" ref="F90:K90" si="46">+F96-F93-F94-F95</f>
        <v>21.384</v>
      </c>
      <c r="G90" s="195">
        <f t="shared" si="46"/>
        <v>13.35</v>
      </c>
      <c r="H90" s="195">
        <f t="shared" si="46"/>
        <v>19.192</v>
      </c>
      <c r="I90" s="195">
        <f t="shared" si="46"/>
        <v>24.214</v>
      </c>
      <c r="J90" s="195">
        <f t="shared" si="46"/>
        <v>26.476</v>
      </c>
      <c r="K90" s="195">
        <f t="shared" si="46"/>
        <v>26.298</v>
      </c>
      <c r="L90" s="257">
        <f t="shared" ref="L90:P90" si="47">L91*L14</f>
        <v>25.45928357</v>
      </c>
      <c r="M90" s="257">
        <f t="shared" si="47"/>
        <v>30.18011589</v>
      </c>
      <c r="N90" s="257">
        <f t="shared" si="47"/>
        <v>32.84543019</v>
      </c>
      <c r="O90" s="257">
        <f t="shared" si="47"/>
        <v>32.9990343</v>
      </c>
      <c r="P90" s="257">
        <f t="shared" si="47"/>
        <v>34.19259284</v>
      </c>
    </row>
    <row r="91" ht="12.75" customHeight="1">
      <c r="A91" s="153"/>
      <c r="B91" s="154" t="s">
        <v>206</v>
      </c>
      <c r="D91" s="153" t="s">
        <v>32</v>
      </c>
      <c r="E91" s="153"/>
      <c r="F91" s="225">
        <f t="shared" ref="F91:K91" si="48">F90/F14</f>
        <v>0.02875824729</v>
      </c>
      <c r="G91" s="225">
        <f t="shared" si="48"/>
        <v>0.02493141526</v>
      </c>
      <c r="H91" s="225">
        <f t="shared" si="48"/>
        <v>0.02047367236</v>
      </c>
      <c r="I91" s="225">
        <f t="shared" si="48"/>
        <v>0.02545449958</v>
      </c>
      <c r="J91" s="225">
        <f t="shared" si="48"/>
        <v>0.02998122493</v>
      </c>
      <c r="K91" s="225">
        <f t="shared" si="48"/>
        <v>0.02737889125</v>
      </c>
      <c r="L91" s="226">
        <f t="shared" ref="L91:P91" si="49">AVERAGE(I91:K91)</f>
        <v>0.02760487192</v>
      </c>
      <c r="M91" s="226">
        <f t="shared" si="49"/>
        <v>0.0283216627</v>
      </c>
      <c r="N91" s="226">
        <f t="shared" si="49"/>
        <v>0.02776847529</v>
      </c>
      <c r="O91" s="226">
        <f t="shared" si="49"/>
        <v>0.02789833664</v>
      </c>
      <c r="P91" s="226">
        <f t="shared" si="49"/>
        <v>0.02799615821</v>
      </c>
    </row>
    <row r="92" ht="12.75" customHeight="1">
      <c r="A92" s="153"/>
      <c r="B92" s="154" t="s">
        <v>180</v>
      </c>
      <c r="D92" s="153" t="s">
        <v>36</v>
      </c>
      <c r="E92" s="153"/>
      <c r="F92" s="195"/>
      <c r="G92" s="225">
        <f t="shared" ref="G92:P92" si="50">IFERROR((G90/F90-1),"")</f>
        <v>-0.375701459</v>
      </c>
      <c r="H92" s="225">
        <f t="shared" si="50"/>
        <v>0.4376029963</v>
      </c>
      <c r="I92" s="225">
        <f t="shared" si="50"/>
        <v>0.2616715298</v>
      </c>
      <c r="J92" s="225">
        <f t="shared" si="50"/>
        <v>0.09341703147</v>
      </c>
      <c r="K92" s="225">
        <f t="shared" si="50"/>
        <v>-0.00672306995</v>
      </c>
      <c r="L92" s="226">
        <f t="shared" si="50"/>
        <v>-0.03189278383</v>
      </c>
      <c r="M92" s="226">
        <f t="shared" si="50"/>
        <v>0.1854267542</v>
      </c>
      <c r="N92" s="226">
        <f t="shared" si="50"/>
        <v>0.0883135875</v>
      </c>
      <c r="O92" s="226">
        <f t="shared" si="50"/>
        <v>0.004676574638</v>
      </c>
      <c r="P92" s="226">
        <f t="shared" si="50"/>
        <v>0.036169499</v>
      </c>
    </row>
    <row r="93" ht="12.75" customHeight="1">
      <c r="A93" s="153"/>
      <c r="B93" s="154" t="s">
        <v>207</v>
      </c>
      <c r="D93" s="153" t="s">
        <v>36</v>
      </c>
      <c r="E93" s="153"/>
      <c r="F93" s="267">
        <f>(1193-522)/1000</f>
        <v>0.671</v>
      </c>
      <c r="G93" s="267">
        <f>(860-868)/1000</f>
        <v>-0.008</v>
      </c>
      <c r="H93" s="267">
        <f>(810-768)/1000</f>
        <v>0.042</v>
      </c>
      <c r="I93" s="267">
        <f>(229-1134)/1000</f>
        <v>-0.905</v>
      </c>
      <c r="J93" s="267">
        <f>(1528-870)/1000</f>
        <v>0.658</v>
      </c>
      <c r="K93" s="267">
        <f>(720-744)/1000</f>
        <v>-0.024</v>
      </c>
      <c r="L93" s="257">
        <f t="shared" ref="L93:P93" si="51">L124</f>
        <v>-0.0006238597187</v>
      </c>
      <c r="M93" s="257">
        <f t="shared" si="51"/>
        <v>-0.001968542478</v>
      </c>
      <c r="N93" s="257">
        <f t="shared" si="51"/>
        <v>-0.002768651971</v>
      </c>
      <c r="O93" s="257">
        <f t="shared" si="51"/>
        <v>-0.003568761465</v>
      </c>
      <c r="P93" s="257">
        <f t="shared" si="51"/>
        <v>-0.004393740222</v>
      </c>
    </row>
    <row r="94" ht="12.75" customHeight="1">
      <c r="A94" s="153"/>
      <c r="B94" s="154" t="s">
        <v>214</v>
      </c>
      <c r="D94" s="153" t="s">
        <v>36</v>
      </c>
      <c r="E94" s="153"/>
      <c r="F94" s="267">
        <v>0.522</v>
      </c>
      <c r="G94" s="267">
        <v>0.868</v>
      </c>
      <c r="H94" s="267">
        <v>0.768</v>
      </c>
      <c r="I94" s="267">
        <v>1.134</v>
      </c>
      <c r="J94" s="267">
        <v>0.87</v>
      </c>
      <c r="K94" s="267">
        <v>0.744</v>
      </c>
      <c r="L94" s="257">
        <f t="shared" ref="L94:P94" si="52">L137</f>
        <v>-1.010726451</v>
      </c>
      <c r="M94" s="257">
        <f t="shared" si="52"/>
        <v>-1.3767072</v>
      </c>
      <c r="N94" s="257">
        <f t="shared" si="52"/>
        <v>-0.9916098712</v>
      </c>
      <c r="O94" s="257">
        <f t="shared" si="52"/>
        <v>-1.385256119</v>
      </c>
      <c r="P94" s="257">
        <f t="shared" si="52"/>
        <v>-1.827873899</v>
      </c>
    </row>
    <row r="95" ht="12.75" customHeight="1">
      <c r="A95" s="153"/>
      <c r="B95" s="259" t="s">
        <v>209</v>
      </c>
      <c r="C95" s="259"/>
      <c r="D95" s="260" t="s">
        <v>36</v>
      </c>
      <c r="E95" s="260"/>
      <c r="F95" s="268">
        <f>622/1000</f>
        <v>0.622</v>
      </c>
      <c r="G95" s="268">
        <f>1225/1000</f>
        <v>1.225</v>
      </c>
      <c r="H95" s="268">
        <f>1123/1000</f>
        <v>1.123</v>
      </c>
      <c r="I95" s="268">
        <f>409/1000</f>
        <v>0.409</v>
      </c>
      <c r="J95" s="268">
        <f>2559/1000</f>
        <v>2.559</v>
      </c>
      <c r="K95" s="268">
        <f>2063/1000</f>
        <v>2.063</v>
      </c>
      <c r="L95" s="262">
        <f t="shared" ref="L95:P95" si="53">L151</f>
        <v>1.455802944</v>
      </c>
      <c r="M95" s="262">
        <f t="shared" si="53"/>
        <v>1.530353456</v>
      </c>
      <c r="N95" s="262">
        <f t="shared" si="53"/>
        <v>1.614675426</v>
      </c>
      <c r="O95" s="262">
        <f t="shared" si="53"/>
        <v>1.703393113</v>
      </c>
      <c r="P95" s="262">
        <f t="shared" si="53"/>
        <v>0</v>
      </c>
    </row>
    <row r="96" ht="12.75" customHeight="1">
      <c r="A96" s="153"/>
      <c r="B96" s="196" t="s">
        <v>218</v>
      </c>
      <c r="C96" s="154"/>
      <c r="D96" s="263" t="s">
        <v>36</v>
      </c>
      <c r="E96" s="263"/>
      <c r="F96" s="222">
        <f>-+Buildup!E11</f>
        <v>23.199</v>
      </c>
      <c r="G96" s="222">
        <f>-+Buildup!F11</f>
        <v>15.435</v>
      </c>
      <c r="H96" s="222">
        <f>-+Buildup!G11</f>
        <v>21.125</v>
      </c>
      <c r="I96" s="222">
        <f>-+Buildup!H11</f>
        <v>24.852</v>
      </c>
      <c r="J96" s="222">
        <f>-+Buildup!I11</f>
        <v>30.563</v>
      </c>
      <c r="K96" s="222">
        <f>-+Buildup!J11</f>
        <v>29.081</v>
      </c>
      <c r="L96" s="257">
        <f t="shared" ref="L96:P96" si="54">SUM(L90,L93:L95)</f>
        <v>25.9037362</v>
      </c>
      <c r="M96" s="257">
        <f t="shared" si="54"/>
        <v>30.3317936</v>
      </c>
      <c r="N96" s="257">
        <f t="shared" si="54"/>
        <v>33.4657271</v>
      </c>
      <c r="O96" s="257">
        <f t="shared" si="54"/>
        <v>33.31360253</v>
      </c>
      <c r="P96" s="257">
        <f t="shared" si="54"/>
        <v>32.3603252</v>
      </c>
    </row>
    <row r="97" ht="12.75" customHeight="1">
      <c r="D97" s="153"/>
      <c r="E97" s="153"/>
    </row>
    <row r="98" ht="12.75" customHeight="1">
      <c r="D98" s="153"/>
      <c r="E98" s="153"/>
    </row>
    <row r="99" ht="12.75" customHeight="1">
      <c r="A99" s="153" t="s">
        <v>33</v>
      </c>
      <c r="B99" s="208" t="s">
        <v>219</v>
      </c>
      <c r="C99" s="208"/>
      <c r="D99" s="209"/>
      <c r="E99" s="209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</row>
    <row r="100" ht="12.75" customHeight="1">
      <c r="A100" s="153"/>
      <c r="B100" s="270"/>
      <c r="C100" s="202"/>
      <c r="D100" s="271"/>
      <c r="E100" s="271"/>
      <c r="F100" s="202"/>
      <c r="G100" s="202"/>
      <c r="H100" s="202"/>
      <c r="I100" s="202"/>
      <c r="J100" s="202"/>
      <c r="K100" s="202"/>
      <c r="L100" s="202"/>
    </row>
    <row r="101" ht="12.75" customHeight="1">
      <c r="B101" s="196" t="s">
        <v>220</v>
      </c>
      <c r="D101" s="153"/>
      <c r="E101" s="153"/>
    </row>
    <row r="102" ht="12.75" customHeight="1">
      <c r="B102" s="154" t="s">
        <v>42</v>
      </c>
      <c r="D102" s="153" t="s">
        <v>36</v>
      </c>
      <c r="E102" s="153"/>
      <c r="F102" s="222">
        <f>+Buildup!E13</f>
        <v>66.84</v>
      </c>
      <c r="G102" s="222">
        <f>+Buildup!F13</f>
        <v>46.907</v>
      </c>
      <c r="H102" s="222">
        <f>+Buildup!G13</f>
        <v>42.505</v>
      </c>
      <c r="I102" s="222">
        <f>+Buildup!H13</f>
        <v>60.068</v>
      </c>
      <c r="J102" s="222">
        <f>+Buildup!I13</f>
        <v>63.429</v>
      </c>
      <c r="K102" s="222">
        <f>+Buildup!J13</f>
        <v>145.115</v>
      </c>
      <c r="L102" s="257">
        <f t="shared" ref="L102:P102" si="55">L103*L14</f>
        <v>87.93932724</v>
      </c>
      <c r="M102" s="257">
        <f t="shared" si="55"/>
        <v>101.6072866</v>
      </c>
      <c r="N102" s="257">
        <f t="shared" si="55"/>
        <v>112.7835128</v>
      </c>
      <c r="O102" s="257">
        <f t="shared" si="55"/>
        <v>112.7835128</v>
      </c>
      <c r="P102" s="257">
        <f t="shared" si="55"/>
        <v>116.4545047</v>
      </c>
    </row>
    <row r="103" ht="12.75" customHeight="1">
      <c r="B103" s="154" t="s">
        <v>206</v>
      </c>
      <c r="D103" s="153" t="s">
        <v>32</v>
      </c>
      <c r="E103" s="153"/>
      <c r="F103" s="225">
        <f t="shared" ref="F103:K103" si="56">F102/F14</f>
        <v>0.0898896955</v>
      </c>
      <c r="G103" s="225">
        <f t="shared" si="56"/>
        <v>0.08759984238</v>
      </c>
      <c r="H103" s="225">
        <f t="shared" si="56"/>
        <v>0.04534355168</v>
      </c>
      <c r="I103" s="225">
        <f t="shared" si="56"/>
        <v>0.06314532423</v>
      </c>
      <c r="J103" s="225">
        <f t="shared" si="56"/>
        <v>0.07182652652</v>
      </c>
      <c r="K103" s="225">
        <f t="shared" si="56"/>
        <v>0.1510794662</v>
      </c>
      <c r="L103" s="226">
        <f>AVERAGE(I103:K103)</f>
        <v>0.095350439</v>
      </c>
      <c r="M103" s="226">
        <f t="shared" ref="M103:P103" si="57">+L103</f>
        <v>0.095350439</v>
      </c>
      <c r="N103" s="226">
        <f t="shared" si="57"/>
        <v>0.095350439</v>
      </c>
      <c r="O103" s="226">
        <f t="shared" si="57"/>
        <v>0.095350439</v>
      </c>
      <c r="P103" s="226">
        <f t="shared" si="57"/>
        <v>0.095350439</v>
      </c>
    </row>
    <row r="104" ht="12.75" customHeight="1">
      <c r="D104" s="153"/>
      <c r="E104" s="153"/>
    </row>
    <row r="105" ht="12.75" customHeight="1">
      <c r="B105" s="196" t="s">
        <v>221</v>
      </c>
      <c r="D105" s="153"/>
      <c r="E105" s="153"/>
    </row>
    <row r="106" ht="12.75" customHeight="1">
      <c r="B106" s="154" t="s">
        <v>222</v>
      </c>
      <c r="D106" s="153" t="s">
        <v>36</v>
      </c>
      <c r="E106" s="153"/>
      <c r="F106" s="195">
        <f t="shared" ref="F106:K106" si="58">+F112-F109-F111</f>
        <v>91.87</v>
      </c>
      <c r="G106" s="195">
        <f t="shared" si="58"/>
        <v>92.531</v>
      </c>
      <c r="H106" s="195">
        <f t="shared" si="58"/>
        <v>75.54</v>
      </c>
      <c r="I106" s="195">
        <f t="shared" si="58"/>
        <v>83.398</v>
      </c>
      <c r="J106" s="195">
        <f t="shared" si="58"/>
        <v>75.902</v>
      </c>
      <c r="K106" s="195">
        <f t="shared" si="58"/>
        <v>112.253</v>
      </c>
      <c r="L106" s="257">
        <f t="shared" ref="L106:P106" si="59">L107*L14</f>
        <v>89.30332935</v>
      </c>
      <c r="M106" s="257">
        <f t="shared" si="59"/>
        <v>103.1832886</v>
      </c>
      <c r="N106" s="257">
        <f t="shared" si="59"/>
        <v>114.5328661</v>
      </c>
      <c r="O106" s="257">
        <f t="shared" si="59"/>
        <v>114.5328661</v>
      </c>
      <c r="P106" s="257">
        <f t="shared" si="59"/>
        <v>118.2607977</v>
      </c>
    </row>
    <row r="107" ht="12.75" customHeight="1">
      <c r="B107" s="154" t="s">
        <v>206</v>
      </c>
      <c r="D107" s="153" t="s">
        <v>32</v>
      </c>
      <c r="E107" s="153"/>
      <c r="F107" s="225">
        <f t="shared" ref="F107:K107" si="60">F106/F14</f>
        <v>0.1235512616</v>
      </c>
      <c r="G107" s="225">
        <f t="shared" si="60"/>
        <v>0.1728036544</v>
      </c>
      <c r="H107" s="225">
        <f t="shared" si="60"/>
        <v>0.08058468166</v>
      </c>
      <c r="I107" s="225">
        <f t="shared" si="60"/>
        <v>0.0876705359</v>
      </c>
      <c r="J107" s="225">
        <f t="shared" si="60"/>
        <v>0.08595085869</v>
      </c>
      <c r="K107" s="225">
        <f t="shared" si="60"/>
        <v>0.1168667838</v>
      </c>
      <c r="L107" s="226">
        <f>AVERAGE(I107:K107)</f>
        <v>0.09682939278</v>
      </c>
      <c r="M107" s="226">
        <f t="shared" ref="M107:P107" si="61">+L107</f>
        <v>0.09682939278</v>
      </c>
      <c r="N107" s="226">
        <f t="shared" si="61"/>
        <v>0.09682939278</v>
      </c>
      <c r="O107" s="226">
        <f t="shared" si="61"/>
        <v>0.09682939278</v>
      </c>
      <c r="P107" s="226">
        <f t="shared" si="61"/>
        <v>0.09682939278</v>
      </c>
    </row>
    <row r="108" ht="12.75" customHeight="1">
      <c r="B108" s="154" t="s">
        <v>223</v>
      </c>
      <c r="D108" s="153" t="s">
        <v>32</v>
      </c>
      <c r="E108" s="153"/>
      <c r="G108" s="225">
        <f t="shared" ref="G108:P108" si="62">IFERROR((G106/F106-1),"")</f>
        <v>0.007194949385</v>
      </c>
      <c r="H108" s="225">
        <f t="shared" si="62"/>
        <v>-0.1836249473</v>
      </c>
      <c r="I108" s="225">
        <f t="shared" si="62"/>
        <v>0.104024358</v>
      </c>
      <c r="J108" s="225">
        <f t="shared" si="62"/>
        <v>-0.08988225137</v>
      </c>
      <c r="K108" s="225">
        <f t="shared" si="62"/>
        <v>0.4789201866</v>
      </c>
      <c r="L108" s="226">
        <f t="shared" si="62"/>
        <v>-0.2044459449</v>
      </c>
      <c r="M108" s="226">
        <f t="shared" si="62"/>
        <v>0.1554248798</v>
      </c>
      <c r="N108" s="226">
        <f t="shared" si="62"/>
        <v>0.1099943377</v>
      </c>
      <c r="O108" s="226">
        <f t="shared" si="62"/>
        <v>0</v>
      </c>
      <c r="P108" s="226">
        <f t="shared" si="62"/>
        <v>0.03254901191</v>
      </c>
    </row>
    <row r="109" ht="12.75" customHeight="1">
      <c r="B109" s="154" t="s">
        <v>207</v>
      </c>
      <c r="D109" s="153" t="s">
        <v>36</v>
      </c>
      <c r="E109" s="153"/>
      <c r="F109" s="272">
        <f>3987/1000</f>
        <v>3.987</v>
      </c>
      <c r="G109" s="272">
        <f>4554/1000</f>
        <v>4.554</v>
      </c>
      <c r="H109" s="272">
        <f>3741/1000</f>
        <v>3.741</v>
      </c>
      <c r="I109" s="272">
        <f>3264/1000</f>
        <v>3.264</v>
      </c>
      <c r="J109" s="272">
        <f>2411/1000</f>
        <v>2.411</v>
      </c>
      <c r="K109" s="272">
        <f>2625/1000</f>
        <v>2.625</v>
      </c>
      <c r="L109" s="257">
        <f t="shared" ref="L109:P109" si="63">L138</f>
        <v>0</v>
      </c>
      <c r="M109" s="257">
        <f t="shared" si="63"/>
        <v>0</v>
      </c>
      <c r="N109" s="257">
        <f t="shared" si="63"/>
        <v>0</v>
      </c>
      <c r="O109" s="257">
        <f t="shared" si="63"/>
        <v>0</v>
      </c>
      <c r="P109" s="257">
        <f t="shared" si="63"/>
        <v>0</v>
      </c>
    </row>
    <row r="110" ht="12.75" customHeight="1">
      <c r="B110" s="154" t="s">
        <v>214</v>
      </c>
      <c r="D110" s="153" t="s">
        <v>36</v>
      </c>
      <c r="E110" s="153"/>
      <c r="F110" s="272">
        <v>0.0</v>
      </c>
      <c r="G110" s="272">
        <v>0.0</v>
      </c>
      <c r="H110" s="272">
        <v>0.0</v>
      </c>
      <c r="I110" s="272">
        <v>0.0</v>
      </c>
      <c r="J110" s="272">
        <v>0.0</v>
      </c>
      <c r="K110" s="272">
        <v>0.0</v>
      </c>
      <c r="L110" s="257">
        <f t="shared" ref="L110:P110" si="64">L138</f>
        <v>0</v>
      </c>
      <c r="M110" s="257">
        <f t="shared" si="64"/>
        <v>0</v>
      </c>
      <c r="N110" s="257">
        <f t="shared" si="64"/>
        <v>0</v>
      </c>
      <c r="O110" s="257">
        <f t="shared" si="64"/>
        <v>0</v>
      </c>
      <c r="P110" s="257">
        <f t="shared" si="64"/>
        <v>0</v>
      </c>
    </row>
    <row r="111" ht="12.75" customHeight="1">
      <c r="B111" s="259" t="s">
        <v>209</v>
      </c>
      <c r="C111" s="259"/>
      <c r="D111" s="260" t="s">
        <v>36</v>
      </c>
      <c r="E111" s="260"/>
      <c r="F111" s="273">
        <f>484/1000</f>
        <v>0.484</v>
      </c>
      <c r="G111" s="273">
        <f>262/1000</f>
        <v>0.262</v>
      </c>
      <c r="H111" s="273">
        <f>191/1000</f>
        <v>0.191</v>
      </c>
      <c r="I111" s="273">
        <f>803/1000</f>
        <v>0.803</v>
      </c>
      <c r="J111" s="273">
        <f>194/1000</f>
        <v>0.194</v>
      </c>
      <c r="K111" s="273">
        <f>404/1000</f>
        <v>0.404</v>
      </c>
      <c r="L111" s="262">
        <f t="shared" ref="L111:P111" si="65">L152</f>
        <v>0.4045725146</v>
      </c>
      <c r="M111" s="262">
        <f t="shared" si="65"/>
        <v>0.4252903516</v>
      </c>
      <c r="N111" s="262">
        <f t="shared" si="65"/>
        <v>0.4487237094</v>
      </c>
      <c r="O111" s="262">
        <f t="shared" si="65"/>
        <v>0.4733786518</v>
      </c>
      <c r="P111" s="262">
        <f t="shared" si="65"/>
        <v>0.953609261</v>
      </c>
    </row>
    <row r="112" ht="12.75" customHeight="1">
      <c r="B112" s="196" t="s">
        <v>224</v>
      </c>
      <c r="D112" s="263" t="s">
        <v>36</v>
      </c>
      <c r="E112" s="263"/>
      <c r="F112" s="222">
        <f>+-Buildup!E14</f>
        <v>96.341</v>
      </c>
      <c r="G112" s="222">
        <f>+-Buildup!F14</f>
        <v>97.347</v>
      </c>
      <c r="H112" s="222">
        <f>+-Buildup!G14</f>
        <v>79.472</v>
      </c>
      <c r="I112" s="222">
        <f>+-Buildup!H14</f>
        <v>87.465</v>
      </c>
      <c r="J112" s="222">
        <f>+-Buildup!I14</f>
        <v>78.507</v>
      </c>
      <c r="K112" s="222">
        <f>+-Buildup!J14</f>
        <v>115.282</v>
      </c>
      <c r="L112" s="274">
        <f t="shared" ref="L112:P112" si="66">SUM(L106,L109:L111)</f>
        <v>89.70790187</v>
      </c>
      <c r="M112" s="274">
        <f t="shared" si="66"/>
        <v>103.6085789</v>
      </c>
      <c r="N112" s="274">
        <f t="shared" si="66"/>
        <v>114.9815898</v>
      </c>
      <c r="O112" s="274">
        <f t="shared" si="66"/>
        <v>115.0062447</v>
      </c>
      <c r="P112" s="274">
        <f t="shared" si="66"/>
        <v>119.214407</v>
      </c>
    </row>
    <row r="113" ht="12.75" customHeight="1">
      <c r="D113" s="153"/>
      <c r="E113" s="153"/>
    </row>
    <row r="114" ht="12.75" customHeight="1">
      <c r="A114" s="153" t="s">
        <v>33</v>
      </c>
      <c r="B114" s="208" t="s">
        <v>225</v>
      </c>
      <c r="C114" s="275"/>
      <c r="D114" s="276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</row>
    <row r="115" ht="12.75" customHeight="1">
      <c r="D115" s="153"/>
      <c r="E115" s="153"/>
    </row>
    <row r="116" ht="12.75" customHeight="1">
      <c r="B116" s="78" t="s">
        <v>207</v>
      </c>
      <c r="D116" s="153" t="s">
        <v>36</v>
      </c>
      <c r="E116" s="153"/>
      <c r="F116" s="195">
        <f t="shared" ref="F116:K116" si="67">+F126</f>
        <v>94.632</v>
      </c>
      <c r="G116" s="195">
        <f t="shared" si="67"/>
        <v>86.465</v>
      </c>
      <c r="H116" s="195">
        <f t="shared" si="67"/>
        <v>91.841</v>
      </c>
      <c r="I116" s="195">
        <f t="shared" si="67"/>
        <v>104.367</v>
      </c>
      <c r="J116" s="195">
        <f t="shared" si="67"/>
        <v>103.784</v>
      </c>
      <c r="K116" s="195">
        <f t="shared" si="67"/>
        <v>104.391</v>
      </c>
      <c r="L116" s="257">
        <f t="shared" ref="L116:P116" si="68">L126</f>
        <v>0.7307609816</v>
      </c>
      <c r="M116" s="257">
        <f t="shared" si="68"/>
        <v>2.305861383</v>
      </c>
      <c r="N116" s="257">
        <f t="shared" si="68"/>
        <v>3.243073357</v>
      </c>
      <c r="O116" s="257">
        <f t="shared" si="68"/>
        <v>4.180285332</v>
      </c>
      <c r="P116" s="257">
        <f t="shared" si="68"/>
        <v>5.146628034</v>
      </c>
    </row>
    <row r="117" ht="12.75" customHeight="1">
      <c r="B117" s="78" t="s">
        <v>214</v>
      </c>
      <c r="D117" s="153" t="s">
        <v>36</v>
      </c>
      <c r="E117" s="153"/>
      <c r="F117" s="195">
        <f t="shared" ref="F117:K117" si="69">+F139</f>
        <v>18.824</v>
      </c>
      <c r="G117" s="195">
        <f t="shared" si="69"/>
        <v>16.218</v>
      </c>
      <c r="H117" s="195">
        <f t="shared" si="69"/>
        <v>4.826</v>
      </c>
      <c r="I117" s="195">
        <f t="shared" si="69"/>
        <v>7.086</v>
      </c>
      <c r="J117" s="195">
        <f t="shared" si="69"/>
        <v>5.438</v>
      </c>
      <c r="K117" s="195">
        <f t="shared" si="69"/>
        <v>7.444</v>
      </c>
      <c r="L117" s="257">
        <f t="shared" ref="L117:P117" si="70">L139</f>
        <v>-9.183485987</v>
      </c>
      <c r="M117" s="257">
        <f t="shared" si="70"/>
        <v>-12.50879629</v>
      </c>
      <c r="N117" s="257">
        <f t="shared" si="70"/>
        <v>-9.009792261</v>
      </c>
      <c r="O117" s="257">
        <f t="shared" si="70"/>
        <v>-12.58647198</v>
      </c>
      <c r="P117" s="257">
        <f t="shared" si="70"/>
        <v>-16.60810827</v>
      </c>
    </row>
    <row r="118" ht="12.75" customHeight="1">
      <c r="B118" s="259" t="s">
        <v>209</v>
      </c>
      <c r="C118" s="259"/>
      <c r="D118" s="260" t="s">
        <v>36</v>
      </c>
      <c r="E118" s="260"/>
      <c r="F118" s="277">
        <f t="shared" ref="F118:K118" si="71">+F153</f>
        <v>67.64</v>
      </c>
      <c r="G118" s="277">
        <f t="shared" si="71"/>
        <v>43.874</v>
      </c>
      <c r="H118" s="277">
        <f t="shared" si="71"/>
        <v>92.05</v>
      </c>
      <c r="I118" s="277">
        <f t="shared" si="71"/>
        <v>105.479</v>
      </c>
      <c r="J118" s="277">
        <f t="shared" si="71"/>
        <v>91.582</v>
      </c>
      <c r="K118" s="277">
        <f t="shared" si="71"/>
        <v>70.982</v>
      </c>
      <c r="L118" s="262">
        <f t="shared" ref="L118:P118" si="72">L153</f>
        <v>79.26337197</v>
      </c>
      <c r="M118" s="262">
        <f t="shared" si="72"/>
        <v>83.32238625</v>
      </c>
      <c r="N118" s="262">
        <f t="shared" si="72"/>
        <v>87.91342219</v>
      </c>
      <c r="O118" s="262">
        <f t="shared" si="72"/>
        <v>92.74378957</v>
      </c>
      <c r="P118" s="262">
        <f t="shared" si="72"/>
        <v>97.65276878</v>
      </c>
    </row>
    <row r="119" ht="12.75" customHeight="1">
      <c r="B119" s="196" t="s">
        <v>226</v>
      </c>
      <c r="D119" s="263" t="s">
        <v>36</v>
      </c>
      <c r="E119" s="153"/>
      <c r="F119" s="194">
        <f t="shared" ref="F119:K119" si="73">+SUM(F116:F118)</f>
        <v>181.096</v>
      </c>
      <c r="G119" s="194">
        <f t="shared" si="73"/>
        <v>146.557</v>
      </c>
      <c r="H119" s="194">
        <f t="shared" si="73"/>
        <v>188.717</v>
      </c>
      <c r="I119" s="194">
        <f t="shared" si="73"/>
        <v>216.932</v>
      </c>
      <c r="J119" s="194">
        <f t="shared" si="73"/>
        <v>200.804</v>
      </c>
      <c r="K119" s="194">
        <f t="shared" si="73"/>
        <v>182.817</v>
      </c>
      <c r="L119" s="269">
        <f t="shared" ref="L119:P119" si="74">SUM(L116:L118)</f>
        <v>70.81064696</v>
      </c>
      <c r="M119" s="269">
        <f t="shared" si="74"/>
        <v>73.11945135</v>
      </c>
      <c r="N119" s="269">
        <f t="shared" si="74"/>
        <v>82.14670329</v>
      </c>
      <c r="O119" s="269">
        <f t="shared" si="74"/>
        <v>84.33760291</v>
      </c>
      <c r="P119" s="269">
        <f t="shared" si="74"/>
        <v>86.19128854</v>
      </c>
    </row>
    <row r="120" ht="12.75" customHeight="1">
      <c r="D120" s="153"/>
      <c r="E120" s="153"/>
    </row>
    <row r="121" ht="12.75" customHeight="1" outlineLevel="1">
      <c r="B121" s="196" t="s">
        <v>227</v>
      </c>
      <c r="D121" s="153"/>
      <c r="E121" s="153"/>
    </row>
    <row r="122" ht="12.75" customHeight="1" outlineLevel="1">
      <c r="B122" s="78" t="s">
        <v>37</v>
      </c>
      <c r="D122" s="153" t="s">
        <v>36</v>
      </c>
      <c r="E122" s="153"/>
      <c r="F122" s="195">
        <f t="shared" ref="F122:K122" si="75">+F74</f>
        <v>89.93</v>
      </c>
      <c r="G122" s="195">
        <f t="shared" si="75"/>
        <v>81.839</v>
      </c>
      <c r="H122" s="195">
        <f t="shared" si="75"/>
        <v>87.967</v>
      </c>
      <c r="I122" s="195">
        <f t="shared" si="75"/>
        <v>101.912</v>
      </c>
      <c r="J122" s="195">
        <f t="shared" si="75"/>
        <v>100.672</v>
      </c>
      <c r="K122" s="195">
        <f t="shared" si="75"/>
        <v>101.724</v>
      </c>
      <c r="L122" s="257">
        <f t="shared" ref="L122:L125" si="77">L129*$L$126</f>
        <v>0.7115038964</v>
      </c>
      <c r="M122" s="257">
        <f t="shared" ref="M122:M125" si="78">M129*$M$126</f>
        <v>2.245097097</v>
      </c>
      <c r="N122" s="257">
        <f t="shared" ref="N122:N125" si="79">N129*$N$126</f>
        <v>3.157611569</v>
      </c>
      <c r="O122" s="257">
        <f t="shared" ref="O122:O125" si="80">O129*$O$126</f>
        <v>4.070126042</v>
      </c>
      <c r="P122" s="257">
        <f t="shared" ref="P122:P125" si="81">P129*$P$126</f>
        <v>5.011003587</v>
      </c>
    </row>
    <row r="123" ht="12.75" customHeight="1" outlineLevel="1">
      <c r="B123" s="78" t="s">
        <v>228</v>
      </c>
      <c r="D123" s="153" t="s">
        <v>36</v>
      </c>
      <c r="E123" s="153"/>
      <c r="F123" s="195">
        <f t="shared" ref="F123:K123" si="76">+F84</f>
        <v>0.044</v>
      </c>
      <c r="G123" s="195">
        <f t="shared" si="76"/>
        <v>0.08</v>
      </c>
      <c r="H123" s="195">
        <f t="shared" si="76"/>
        <v>0.091</v>
      </c>
      <c r="I123" s="195">
        <f t="shared" si="76"/>
        <v>0.096</v>
      </c>
      <c r="J123" s="195">
        <f t="shared" si="76"/>
        <v>0.043</v>
      </c>
      <c r="K123" s="195">
        <f t="shared" si="76"/>
        <v>0.066</v>
      </c>
      <c r="L123" s="257">
        <f t="shared" si="77"/>
        <v>0.0004789873811</v>
      </c>
      <c r="M123" s="257">
        <f t="shared" si="78"/>
        <v>0.001511408699</v>
      </c>
      <c r="N123" s="257">
        <f t="shared" si="79"/>
        <v>0.002125717236</v>
      </c>
      <c r="O123" s="257">
        <f t="shared" si="80"/>
        <v>0.002740025773</v>
      </c>
      <c r="P123" s="257">
        <f t="shared" si="81"/>
        <v>0.003373428447</v>
      </c>
    </row>
    <row r="124" ht="12.75" customHeight="1" outlineLevel="1">
      <c r="B124" s="78" t="s">
        <v>229</v>
      </c>
      <c r="D124" s="153" t="s">
        <v>36</v>
      </c>
      <c r="E124" s="153"/>
      <c r="F124" s="195">
        <f t="shared" ref="F124:K124" si="82">+F93</f>
        <v>0.671</v>
      </c>
      <c r="G124" s="195">
        <f t="shared" si="82"/>
        <v>-0.008</v>
      </c>
      <c r="H124" s="195">
        <f t="shared" si="82"/>
        <v>0.042</v>
      </c>
      <c r="I124" s="195">
        <f t="shared" si="82"/>
        <v>-0.905</v>
      </c>
      <c r="J124" s="195">
        <f t="shared" si="82"/>
        <v>0.658</v>
      </c>
      <c r="K124" s="195">
        <f t="shared" si="82"/>
        <v>-0.024</v>
      </c>
      <c r="L124" s="257">
        <f t="shared" si="77"/>
        <v>-0.0006238597187</v>
      </c>
      <c r="M124" s="257">
        <f t="shared" si="78"/>
        <v>-0.001968542478</v>
      </c>
      <c r="N124" s="257">
        <f t="shared" si="79"/>
        <v>-0.002768651971</v>
      </c>
      <c r="O124" s="257">
        <f t="shared" si="80"/>
        <v>-0.003568761465</v>
      </c>
      <c r="P124" s="257">
        <f t="shared" si="81"/>
        <v>-0.004393740222</v>
      </c>
    </row>
    <row r="125" ht="12.75" customHeight="1" outlineLevel="1">
      <c r="B125" s="259" t="s">
        <v>43</v>
      </c>
      <c r="C125" s="259"/>
      <c r="D125" s="260" t="s">
        <v>36</v>
      </c>
      <c r="E125" s="260"/>
      <c r="F125" s="277">
        <f t="shared" ref="F125:K125" si="83">+F109</f>
        <v>3.987</v>
      </c>
      <c r="G125" s="277">
        <f t="shared" si="83"/>
        <v>4.554</v>
      </c>
      <c r="H125" s="277">
        <f t="shared" si="83"/>
        <v>3.741</v>
      </c>
      <c r="I125" s="277">
        <f t="shared" si="83"/>
        <v>3.264</v>
      </c>
      <c r="J125" s="277">
        <f t="shared" si="83"/>
        <v>2.411</v>
      </c>
      <c r="K125" s="277">
        <f t="shared" si="83"/>
        <v>2.625</v>
      </c>
      <c r="L125" s="262">
        <f t="shared" si="77"/>
        <v>0.0194019575</v>
      </c>
      <c r="M125" s="262">
        <f t="shared" si="78"/>
        <v>0.06122141942</v>
      </c>
      <c r="N125" s="262">
        <f t="shared" si="79"/>
        <v>0.08610472238</v>
      </c>
      <c r="O125" s="262">
        <f t="shared" si="80"/>
        <v>0.1109880253</v>
      </c>
      <c r="P125" s="262">
        <f t="shared" si="81"/>
        <v>0.1366447592</v>
      </c>
    </row>
    <row r="126" ht="12.75" customHeight="1" outlineLevel="1">
      <c r="B126" s="196" t="s">
        <v>230</v>
      </c>
      <c r="D126" s="263" t="s">
        <v>36</v>
      </c>
      <c r="E126" s="153"/>
      <c r="F126" s="194">
        <f t="shared" ref="F126:K126" si="84">+SUM(F122:F125)</f>
        <v>94.632</v>
      </c>
      <c r="G126" s="194">
        <f t="shared" si="84"/>
        <v>86.465</v>
      </c>
      <c r="H126" s="194">
        <f t="shared" si="84"/>
        <v>91.841</v>
      </c>
      <c r="I126" s="194">
        <f t="shared" si="84"/>
        <v>104.367</v>
      </c>
      <c r="J126" s="194">
        <f t="shared" si="84"/>
        <v>103.784</v>
      </c>
      <c r="K126" s="194">
        <f t="shared" si="84"/>
        <v>104.391</v>
      </c>
      <c r="L126" s="269">
        <f>Capex!P31</f>
        <v>0.7307609816</v>
      </c>
      <c r="M126" s="269">
        <f>Capex!Q31</f>
        <v>2.305861383</v>
      </c>
      <c r="N126" s="269">
        <f>Capex!R31</f>
        <v>3.243073357</v>
      </c>
      <c r="O126" s="269">
        <f>Capex!S31</f>
        <v>4.180285332</v>
      </c>
      <c r="P126" s="269">
        <f>Capex!T31</f>
        <v>5.146628034</v>
      </c>
    </row>
    <row r="127" ht="12.75" customHeight="1" outlineLevel="1">
      <c r="D127" s="153"/>
      <c r="E127" s="153"/>
    </row>
    <row r="128" ht="12.75" customHeight="1" outlineLevel="1">
      <c r="B128" s="227" t="s">
        <v>231</v>
      </c>
      <c r="D128" s="153"/>
      <c r="E128" s="153"/>
    </row>
    <row r="129" ht="12.75" customHeight="1" outlineLevel="1">
      <c r="B129" s="171" t="s">
        <v>232</v>
      </c>
      <c r="D129" s="153" t="s">
        <v>32</v>
      </c>
      <c r="E129" s="153"/>
      <c r="F129" s="225">
        <f t="shared" ref="F129:F132" si="86">+F122/$F$126</f>
        <v>0.9503127906</v>
      </c>
      <c r="G129" s="225">
        <f t="shared" ref="G129:G132" si="87">+G122/$G$126</f>
        <v>0.9464985832</v>
      </c>
      <c r="H129" s="225">
        <f t="shared" ref="H129:H132" si="88">+H122/$H$126</f>
        <v>0.9578184035</v>
      </c>
      <c r="I129" s="225">
        <f t="shared" ref="I129:I132" si="89">+I122/$I$126</f>
        <v>0.976477239</v>
      </c>
      <c r="J129" s="225">
        <f t="shared" ref="J129:J132" si="90">+J122/$J$126</f>
        <v>0.9700146458</v>
      </c>
      <c r="K129" s="225">
        <f t="shared" ref="K129:K132" si="91">+K122/$K$126</f>
        <v>0.9744518206</v>
      </c>
      <c r="L129" s="226">
        <f t="shared" ref="L129:L132" si="92">+AVERAGE(I129:K129)</f>
        <v>0.9736479018</v>
      </c>
      <c r="M129" s="226">
        <f t="shared" ref="M129:P129" si="85">+L129</f>
        <v>0.9736479018</v>
      </c>
      <c r="N129" s="226">
        <f t="shared" si="85"/>
        <v>0.9736479018</v>
      </c>
      <c r="O129" s="226">
        <f t="shared" si="85"/>
        <v>0.9736479018</v>
      </c>
      <c r="P129" s="226">
        <f t="shared" si="85"/>
        <v>0.9736479018</v>
      </c>
    </row>
    <row r="130" ht="12.75" customHeight="1" outlineLevel="1">
      <c r="B130" s="171" t="s">
        <v>228</v>
      </c>
      <c r="D130" s="153" t="s">
        <v>32</v>
      </c>
      <c r="E130" s="153"/>
      <c r="F130" s="225">
        <f t="shared" si="86"/>
        <v>0.0004649589991</v>
      </c>
      <c r="G130" s="225">
        <f t="shared" si="87"/>
        <v>0.0009252298618</v>
      </c>
      <c r="H130" s="225">
        <f t="shared" si="88"/>
        <v>0.0009908428697</v>
      </c>
      <c r="I130" s="225">
        <f t="shared" si="89"/>
        <v>0.0009198309811</v>
      </c>
      <c r="J130" s="225">
        <f t="shared" si="90"/>
        <v>0.0004143220535</v>
      </c>
      <c r="K130" s="225">
        <f t="shared" si="91"/>
        <v>0.0006322384114</v>
      </c>
      <c r="L130" s="226">
        <f t="shared" si="92"/>
        <v>0.0006554638153</v>
      </c>
      <c r="M130" s="226">
        <f t="shared" ref="M130:P130" si="93">+L130</f>
        <v>0.0006554638153</v>
      </c>
      <c r="N130" s="226">
        <f t="shared" si="93"/>
        <v>0.0006554638153</v>
      </c>
      <c r="O130" s="226">
        <f t="shared" si="93"/>
        <v>0.0006554638153</v>
      </c>
      <c r="P130" s="226">
        <f t="shared" si="93"/>
        <v>0.0006554638153</v>
      </c>
    </row>
    <row r="131" ht="12.75" customHeight="1" outlineLevel="1">
      <c r="B131" s="171" t="s">
        <v>229</v>
      </c>
      <c r="D131" s="153" t="s">
        <v>32</v>
      </c>
      <c r="E131" s="153"/>
      <c r="F131" s="225">
        <f t="shared" si="86"/>
        <v>0.007090624736</v>
      </c>
      <c r="G131" s="225">
        <f t="shared" si="87"/>
        <v>-0.00009252298618</v>
      </c>
      <c r="H131" s="225">
        <f t="shared" si="88"/>
        <v>0.0004573120937</v>
      </c>
      <c r="I131" s="225">
        <f t="shared" si="89"/>
        <v>-0.008671323311</v>
      </c>
      <c r="J131" s="225">
        <f t="shared" si="90"/>
        <v>0.006340090958</v>
      </c>
      <c r="K131" s="225">
        <f t="shared" si="91"/>
        <v>-0.0002299048769</v>
      </c>
      <c r="L131" s="226">
        <f t="shared" si="92"/>
        <v>-0.0008537124099</v>
      </c>
      <c r="M131" s="226">
        <f t="shared" ref="M131:P131" si="94">+L131</f>
        <v>-0.0008537124099</v>
      </c>
      <c r="N131" s="226">
        <f t="shared" si="94"/>
        <v>-0.0008537124099</v>
      </c>
      <c r="O131" s="226">
        <f t="shared" si="94"/>
        <v>-0.0008537124099</v>
      </c>
      <c r="P131" s="226">
        <f t="shared" si="94"/>
        <v>-0.0008537124099</v>
      </c>
    </row>
    <row r="132" ht="12.75" customHeight="1" outlineLevel="1">
      <c r="B132" s="278" t="s">
        <v>43</v>
      </c>
      <c r="C132" s="202"/>
      <c r="D132" s="271" t="s">
        <v>32</v>
      </c>
      <c r="E132" s="271"/>
      <c r="F132" s="225">
        <f t="shared" si="86"/>
        <v>0.04213162567</v>
      </c>
      <c r="G132" s="225">
        <f t="shared" si="87"/>
        <v>0.05266870988</v>
      </c>
      <c r="H132" s="225">
        <f t="shared" si="88"/>
        <v>0.04073344149</v>
      </c>
      <c r="I132" s="225">
        <f t="shared" si="89"/>
        <v>0.03127425336</v>
      </c>
      <c r="J132" s="225">
        <f t="shared" si="90"/>
        <v>0.02323094119</v>
      </c>
      <c r="K132" s="225">
        <f t="shared" si="91"/>
        <v>0.02514584591</v>
      </c>
      <c r="L132" s="226">
        <f t="shared" si="92"/>
        <v>0.02655034682</v>
      </c>
      <c r="M132" s="226">
        <f t="shared" ref="M132:P132" si="95">+L132</f>
        <v>0.02655034682</v>
      </c>
      <c r="N132" s="226">
        <f t="shared" si="95"/>
        <v>0.02655034682</v>
      </c>
      <c r="O132" s="226">
        <f t="shared" si="95"/>
        <v>0.02655034682</v>
      </c>
      <c r="P132" s="226">
        <f t="shared" si="95"/>
        <v>0.02655034682</v>
      </c>
    </row>
    <row r="133" ht="12.75" customHeight="1" outlineLevel="1">
      <c r="B133" s="270"/>
      <c r="D133" s="153"/>
      <c r="E133" s="153"/>
    </row>
    <row r="134" ht="12.75" customHeight="1" outlineLevel="1">
      <c r="B134" s="196" t="s">
        <v>233</v>
      </c>
      <c r="D134" s="153"/>
      <c r="E134" s="153"/>
    </row>
    <row r="135" ht="12.75" customHeight="1" outlineLevel="1">
      <c r="B135" s="154" t="s">
        <v>232</v>
      </c>
      <c r="D135" s="153" t="s">
        <v>36</v>
      </c>
      <c r="E135" s="153"/>
      <c r="F135" s="195">
        <f t="shared" ref="F135:K135" si="96">+F75</f>
        <v>18.302</v>
      </c>
      <c r="G135" s="195">
        <f t="shared" si="96"/>
        <v>15.35</v>
      </c>
      <c r="H135" s="195">
        <f t="shared" si="96"/>
        <v>4.058</v>
      </c>
      <c r="I135" s="195">
        <f t="shared" si="96"/>
        <v>5.952</v>
      </c>
      <c r="J135" s="195">
        <f t="shared" si="96"/>
        <v>4.568</v>
      </c>
      <c r="K135" s="195">
        <f t="shared" si="96"/>
        <v>6.7</v>
      </c>
      <c r="L135" s="257">
        <f t="shared" ref="L135:L138" si="98">L142*$L$139</f>
        <v>-8.172759536</v>
      </c>
      <c r="M135" s="257">
        <f t="shared" ref="M135:M138" si="99">M142*$M$139</f>
        <v>-11.13208909</v>
      </c>
      <c r="N135" s="257">
        <f t="shared" ref="N135:N138" si="100">N142*$N$139</f>
        <v>-8.018182389</v>
      </c>
      <c r="O135" s="257">
        <f t="shared" ref="O135:O138" si="101">O142*$O$139</f>
        <v>-11.20121586</v>
      </c>
      <c r="P135" s="257">
        <f t="shared" ref="P135:P138" si="102">P142*$P$139</f>
        <v>-14.78023437</v>
      </c>
    </row>
    <row r="136" ht="12.75" customHeight="1" outlineLevel="1">
      <c r="B136" s="154" t="s">
        <v>234</v>
      </c>
      <c r="D136" s="153" t="s">
        <v>36</v>
      </c>
      <c r="E136" s="153"/>
      <c r="F136" s="195">
        <f t="shared" ref="F136:K136" si="97">F85</f>
        <v>0</v>
      </c>
      <c r="G136" s="195">
        <f t="shared" si="97"/>
        <v>0</v>
      </c>
      <c r="H136" s="195">
        <f t="shared" si="97"/>
        <v>0</v>
      </c>
      <c r="I136" s="195">
        <f t="shared" si="97"/>
        <v>0</v>
      </c>
      <c r="J136" s="195">
        <f t="shared" si="97"/>
        <v>0</v>
      </c>
      <c r="K136" s="195">
        <f t="shared" si="97"/>
        <v>0</v>
      </c>
      <c r="L136" s="257">
        <f t="shared" si="98"/>
        <v>0</v>
      </c>
      <c r="M136" s="257">
        <f t="shared" si="99"/>
        <v>0</v>
      </c>
      <c r="N136" s="257">
        <f t="shared" si="100"/>
        <v>0</v>
      </c>
      <c r="O136" s="257">
        <f t="shared" si="101"/>
        <v>0</v>
      </c>
      <c r="P136" s="257">
        <f t="shared" si="102"/>
        <v>0</v>
      </c>
    </row>
    <row r="137" ht="12.75" customHeight="1" outlineLevel="1">
      <c r="B137" s="154" t="s">
        <v>229</v>
      </c>
      <c r="D137" s="153" t="s">
        <v>36</v>
      </c>
      <c r="E137" s="153"/>
      <c r="F137" s="195">
        <f t="shared" ref="F137:K137" si="103">F94</f>
        <v>0.522</v>
      </c>
      <c r="G137" s="195">
        <f t="shared" si="103"/>
        <v>0.868</v>
      </c>
      <c r="H137" s="195">
        <f t="shared" si="103"/>
        <v>0.768</v>
      </c>
      <c r="I137" s="195">
        <f t="shared" si="103"/>
        <v>1.134</v>
      </c>
      <c r="J137" s="195">
        <f t="shared" si="103"/>
        <v>0.87</v>
      </c>
      <c r="K137" s="195">
        <f t="shared" si="103"/>
        <v>0.744</v>
      </c>
      <c r="L137" s="257">
        <f t="shared" si="98"/>
        <v>-1.010726451</v>
      </c>
      <c r="M137" s="257">
        <f t="shared" si="99"/>
        <v>-1.3767072</v>
      </c>
      <c r="N137" s="257">
        <f t="shared" si="100"/>
        <v>-0.9916098712</v>
      </c>
      <c r="O137" s="257">
        <f t="shared" si="101"/>
        <v>-1.385256119</v>
      </c>
      <c r="P137" s="257">
        <f t="shared" si="102"/>
        <v>-1.827873899</v>
      </c>
    </row>
    <row r="138" ht="12.75" customHeight="1" outlineLevel="1">
      <c r="B138" s="259" t="s">
        <v>43</v>
      </c>
      <c r="C138" s="259"/>
      <c r="D138" s="260" t="s">
        <v>36</v>
      </c>
      <c r="E138" s="260"/>
      <c r="F138" s="277">
        <f t="shared" ref="F138:K138" si="104">+F110</f>
        <v>0</v>
      </c>
      <c r="G138" s="277">
        <f t="shared" si="104"/>
        <v>0</v>
      </c>
      <c r="H138" s="277">
        <f t="shared" si="104"/>
        <v>0</v>
      </c>
      <c r="I138" s="277">
        <f t="shared" si="104"/>
        <v>0</v>
      </c>
      <c r="J138" s="277">
        <f t="shared" si="104"/>
        <v>0</v>
      </c>
      <c r="K138" s="277">
        <f t="shared" si="104"/>
        <v>0</v>
      </c>
      <c r="L138" s="262">
        <f t="shared" si="98"/>
        <v>0</v>
      </c>
      <c r="M138" s="262">
        <f t="shared" si="99"/>
        <v>0</v>
      </c>
      <c r="N138" s="262">
        <f t="shared" si="100"/>
        <v>0</v>
      </c>
      <c r="O138" s="262">
        <f t="shared" si="101"/>
        <v>0</v>
      </c>
      <c r="P138" s="262">
        <f t="shared" si="102"/>
        <v>0</v>
      </c>
    </row>
    <row r="139" ht="12.75" customHeight="1" outlineLevel="1">
      <c r="B139" s="196" t="s">
        <v>235</v>
      </c>
      <c r="D139" s="263" t="s">
        <v>36</v>
      </c>
      <c r="E139" s="153"/>
      <c r="F139" s="194">
        <f t="shared" ref="F139:K139" si="105">+SUM(F135:F138)</f>
        <v>18.824</v>
      </c>
      <c r="G139" s="194">
        <f t="shared" si="105"/>
        <v>16.218</v>
      </c>
      <c r="H139" s="194">
        <f t="shared" si="105"/>
        <v>4.826</v>
      </c>
      <c r="I139" s="194">
        <f t="shared" si="105"/>
        <v>7.086</v>
      </c>
      <c r="J139" s="194">
        <f t="shared" si="105"/>
        <v>5.438</v>
      </c>
      <c r="K139" s="194">
        <f t="shared" si="105"/>
        <v>7.444</v>
      </c>
      <c r="L139" s="269">
        <f>Capex!P32</f>
        <v>-9.183485987</v>
      </c>
      <c r="M139" s="269">
        <f>Capex!Q32</f>
        <v>-12.50879629</v>
      </c>
      <c r="N139" s="269">
        <f>Capex!R32</f>
        <v>-9.009792261</v>
      </c>
      <c r="O139" s="269">
        <f>Capex!S32</f>
        <v>-12.58647198</v>
      </c>
      <c r="P139" s="269">
        <f>Capex!T32</f>
        <v>-16.60810827</v>
      </c>
    </row>
    <row r="140" ht="12.75" customHeight="1" outlineLevel="1">
      <c r="D140" s="153"/>
      <c r="E140" s="153"/>
    </row>
    <row r="141" ht="12.75" customHeight="1" outlineLevel="1">
      <c r="B141" s="227" t="s">
        <v>236</v>
      </c>
      <c r="D141" s="153"/>
      <c r="E141" s="153"/>
    </row>
    <row r="142" ht="12.75" customHeight="1" outlineLevel="1">
      <c r="B142" s="171" t="s">
        <v>232</v>
      </c>
      <c r="D142" s="153" t="s">
        <v>32</v>
      </c>
      <c r="E142" s="153"/>
      <c r="F142" s="224">
        <f t="shared" ref="F142:F145" si="107">+F135/$F$139</f>
        <v>0.9722694433</v>
      </c>
      <c r="G142" s="224">
        <f t="shared" ref="G142:G145" si="108">+G135/$G$139</f>
        <v>0.9464792206</v>
      </c>
      <c r="H142" s="224">
        <f t="shared" ref="H142:H145" si="109">+H135/$H$139</f>
        <v>0.8408619975</v>
      </c>
      <c r="I142" s="224">
        <f t="shared" ref="I142:I145" si="110">+I135/$I$139</f>
        <v>0.8399661304</v>
      </c>
      <c r="J142" s="224">
        <f t="shared" ref="J142:J145" si="111">+J135/$J$139</f>
        <v>0.8400147113</v>
      </c>
      <c r="K142" s="224">
        <f t="shared" ref="K142:K145" si="112">+K135/$K$139</f>
        <v>0.9000537346</v>
      </c>
      <c r="L142" s="279">
        <f t="shared" ref="L142:L145" si="113">+AVERAGE(F142:K142)</f>
        <v>0.8899408729</v>
      </c>
      <c r="M142" s="279">
        <f t="shared" ref="M142:P142" si="106">+L142</f>
        <v>0.8899408729</v>
      </c>
      <c r="N142" s="279">
        <f t="shared" si="106"/>
        <v>0.8899408729</v>
      </c>
      <c r="O142" s="279">
        <f t="shared" si="106"/>
        <v>0.8899408729</v>
      </c>
      <c r="P142" s="279">
        <f t="shared" si="106"/>
        <v>0.8899408729</v>
      </c>
    </row>
    <row r="143" ht="12.75" customHeight="1" outlineLevel="1">
      <c r="B143" s="171" t="s">
        <v>228</v>
      </c>
      <c r="D143" s="153" t="s">
        <v>32</v>
      </c>
      <c r="E143" s="153"/>
      <c r="F143" s="224">
        <f t="shared" si="107"/>
        <v>0</v>
      </c>
      <c r="G143" s="224">
        <f t="shared" si="108"/>
        <v>0</v>
      </c>
      <c r="H143" s="224">
        <f t="shared" si="109"/>
        <v>0</v>
      </c>
      <c r="I143" s="224">
        <f t="shared" si="110"/>
        <v>0</v>
      </c>
      <c r="J143" s="224">
        <f t="shared" si="111"/>
        <v>0</v>
      </c>
      <c r="K143" s="224">
        <f t="shared" si="112"/>
        <v>0</v>
      </c>
      <c r="L143" s="279">
        <f t="shared" si="113"/>
        <v>0</v>
      </c>
      <c r="M143" s="279">
        <f t="shared" ref="M143:P143" si="114">+L143</f>
        <v>0</v>
      </c>
      <c r="N143" s="279">
        <f t="shared" si="114"/>
        <v>0</v>
      </c>
      <c r="O143" s="279">
        <f t="shared" si="114"/>
        <v>0</v>
      </c>
      <c r="P143" s="279">
        <f t="shared" si="114"/>
        <v>0</v>
      </c>
    </row>
    <row r="144" ht="12.75" customHeight="1" outlineLevel="1">
      <c r="B144" s="171" t="s">
        <v>229</v>
      </c>
      <c r="D144" s="153" t="s">
        <v>32</v>
      </c>
      <c r="E144" s="153"/>
      <c r="F144" s="224">
        <f t="shared" si="107"/>
        <v>0.02773055674</v>
      </c>
      <c r="G144" s="224">
        <f t="shared" si="108"/>
        <v>0.05352077938</v>
      </c>
      <c r="H144" s="224">
        <f t="shared" si="109"/>
        <v>0.1591380025</v>
      </c>
      <c r="I144" s="224">
        <f t="shared" si="110"/>
        <v>0.1600338696</v>
      </c>
      <c r="J144" s="224">
        <f t="shared" si="111"/>
        <v>0.1599852887</v>
      </c>
      <c r="K144" s="224">
        <f t="shared" si="112"/>
        <v>0.09994626545</v>
      </c>
      <c r="L144" s="279">
        <f t="shared" si="113"/>
        <v>0.1100591271</v>
      </c>
      <c r="M144" s="279">
        <f t="shared" ref="M144:P144" si="115">+L144</f>
        <v>0.1100591271</v>
      </c>
      <c r="N144" s="279">
        <f t="shared" si="115"/>
        <v>0.1100591271</v>
      </c>
      <c r="O144" s="279">
        <f t="shared" si="115"/>
        <v>0.1100591271</v>
      </c>
      <c r="P144" s="279">
        <f t="shared" si="115"/>
        <v>0.1100591271</v>
      </c>
    </row>
    <row r="145" ht="12.75" customHeight="1" outlineLevel="1">
      <c r="B145" s="171" t="s">
        <v>43</v>
      </c>
      <c r="D145" s="153" t="s">
        <v>32</v>
      </c>
      <c r="E145" s="153"/>
      <c r="F145" s="224">
        <f t="shared" si="107"/>
        <v>0</v>
      </c>
      <c r="G145" s="224">
        <f t="shared" si="108"/>
        <v>0</v>
      </c>
      <c r="H145" s="224">
        <f t="shared" si="109"/>
        <v>0</v>
      </c>
      <c r="I145" s="224">
        <f t="shared" si="110"/>
        <v>0</v>
      </c>
      <c r="J145" s="224">
        <f t="shared" si="111"/>
        <v>0</v>
      </c>
      <c r="K145" s="224">
        <f t="shared" si="112"/>
        <v>0</v>
      </c>
      <c r="L145" s="279">
        <f t="shared" si="113"/>
        <v>0</v>
      </c>
      <c r="M145" s="279">
        <f t="shared" ref="M145:P145" si="116">+L145</f>
        <v>0</v>
      </c>
      <c r="N145" s="279">
        <f t="shared" si="116"/>
        <v>0</v>
      </c>
      <c r="O145" s="279">
        <f t="shared" si="116"/>
        <v>0</v>
      </c>
      <c r="P145" s="279">
        <f t="shared" si="116"/>
        <v>0</v>
      </c>
    </row>
    <row r="146" ht="12.75" customHeight="1" outlineLevel="1">
      <c r="D146" s="153"/>
      <c r="E146" s="153"/>
    </row>
    <row r="147" ht="12.75" customHeight="1" outlineLevel="1">
      <c r="B147" s="280"/>
      <c r="D147" s="153"/>
      <c r="E147" s="153"/>
    </row>
    <row r="148" ht="12.75" customHeight="1" outlineLevel="1">
      <c r="B148" s="196" t="s">
        <v>237</v>
      </c>
      <c r="D148" s="153"/>
      <c r="E148" s="153"/>
    </row>
    <row r="149" ht="12.75" customHeight="1" outlineLevel="1">
      <c r="B149" s="154" t="s">
        <v>232</v>
      </c>
      <c r="D149" s="153" t="s">
        <v>36</v>
      </c>
      <c r="E149" s="153"/>
      <c r="F149" s="195">
        <f t="shared" ref="F149:K149" si="117">+F76</f>
        <v>66.534</v>
      </c>
      <c r="G149" s="195">
        <f t="shared" si="117"/>
        <v>42.387</v>
      </c>
      <c r="H149" s="195">
        <f t="shared" si="117"/>
        <v>90.736</v>
      </c>
      <c r="I149" s="195">
        <f t="shared" si="117"/>
        <v>104.267</v>
      </c>
      <c r="J149" s="195">
        <f t="shared" si="117"/>
        <v>88.829</v>
      </c>
      <c r="K149" s="195">
        <f t="shared" si="117"/>
        <v>68.515</v>
      </c>
      <c r="L149" s="257">
        <f t="shared" ref="L149:L152" si="119">L156*$L$153</f>
        <v>77.40299651</v>
      </c>
      <c r="M149" s="257">
        <f t="shared" ref="M149:M152" si="120">M156*$M$153</f>
        <v>81.36674244</v>
      </c>
      <c r="N149" s="257">
        <f t="shared" ref="N149:N152" si="121">N156*$N$153</f>
        <v>85.85002306</v>
      </c>
      <c r="O149" s="257">
        <f t="shared" ref="O149:O152" si="122">O156*$O$153</f>
        <v>90.5670178</v>
      </c>
      <c r="P149" s="257">
        <f t="shared" ref="P149:P152" si="123">P153*$P$156</f>
        <v>95.3607793</v>
      </c>
    </row>
    <row r="150" ht="12.75" customHeight="1" outlineLevel="1">
      <c r="B150" s="154" t="s">
        <v>228</v>
      </c>
      <c r="D150" s="153" t="s">
        <v>36</v>
      </c>
      <c r="E150" s="153"/>
      <c r="F150" s="195">
        <f t="shared" ref="F150:K150" si="118">F86</f>
        <v>0</v>
      </c>
      <c r="G150" s="195">
        <f t="shared" si="118"/>
        <v>0</v>
      </c>
      <c r="H150" s="195">
        <f t="shared" si="118"/>
        <v>0</v>
      </c>
      <c r="I150" s="195">
        <f t="shared" si="118"/>
        <v>0</v>
      </c>
      <c r="J150" s="195">
        <f t="shared" si="118"/>
        <v>0</v>
      </c>
      <c r="K150" s="195">
        <f t="shared" si="118"/>
        <v>0</v>
      </c>
      <c r="L150" s="257">
        <f t="shared" si="119"/>
        <v>0</v>
      </c>
      <c r="M150" s="257">
        <f t="shared" si="120"/>
        <v>0</v>
      </c>
      <c r="N150" s="257">
        <f t="shared" si="121"/>
        <v>0</v>
      </c>
      <c r="O150" s="257">
        <f t="shared" si="122"/>
        <v>0</v>
      </c>
      <c r="P150" s="257">
        <f t="shared" si="123"/>
        <v>0</v>
      </c>
    </row>
    <row r="151" ht="12.75" customHeight="1" outlineLevel="1">
      <c r="B151" s="154" t="s">
        <v>229</v>
      </c>
      <c r="D151" s="153" t="s">
        <v>36</v>
      </c>
      <c r="E151" s="153"/>
      <c r="F151" s="195">
        <f t="shared" ref="F151:K151" si="124">+F95</f>
        <v>0.622</v>
      </c>
      <c r="G151" s="195">
        <f t="shared" si="124"/>
        <v>1.225</v>
      </c>
      <c r="H151" s="195">
        <f t="shared" si="124"/>
        <v>1.123</v>
      </c>
      <c r="I151" s="195">
        <f t="shared" si="124"/>
        <v>0.409</v>
      </c>
      <c r="J151" s="195">
        <f t="shared" si="124"/>
        <v>2.559</v>
      </c>
      <c r="K151" s="195">
        <f t="shared" si="124"/>
        <v>2.063</v>
      </c>
      <c r="L151" s="257">
        <f t="shared" si="119"/>
        <v>1.455802944</v>
      </c>
      <c r="M151" s="257">
        <f t="shared" si="120"/>
        <v>1.530353456</v>
      </c>
      <c r="N151" s="257">
        <f t="shared" si="121"/>
        <v>1.614675426</v>
      </c>
      <c r="O151" s="257">
        <f t="shared" si="122"/>
        <v>1.703393113</v>
      </c>
      <c r="P151" s="257">
        <f t="shared" si="123"/>
        <v>0</v>
      </c>
    </row>
    <row r="152" ht="12.75" customHeight="1" outlineLevel="1">
      <c r="B152" s="259" t="s">
        <v>43</v>
      </c>
      <c r="C152" s="259"/>
      <c r="D152" s="260" t="s">
        <v>36</v>
      </c>
      <c r="E152" s="260"/>
      <c r="F152" s="277">
        <f t="shared" ref="F152:K152" si="125">+F111</f>
        <v>0.484</v>
      </c>
      <c r="G152" s="277">
        <f t="shared" si="125"/>
        <v>0.262</v>
      </c>
      <c r="H152" s="277">
        <f t="shared" si="125"/>
        <v>0.191</v>
      </c>
      <c r="I152" s="277">
        <f t="shared" si="125"/>
        <v>0.803</v>
      </c>
      <c r="J152" s="277">
        <f t="shared" si="125"/>
        <v>0.194</v>
      </c>
      <c r="K152" s="277">
        <f t="shared" si="125"/>
        <v>0.404</v>
      </c>
      <c r="L152" s="262">
        <f t="shared" si="119"/>
        <v>0.4045725146</v>
      </c>
      <c r="M152" s="262">
        <f t="shared" si="120"/>
        <v>0.4252903516</v>
      </c>
      <c r="N152" s="262">
        <f t="shared" si="121"/>
        <v>0.4487237094</v>
      </c>
      <c r="O152" s="262">
        <f t="shared" si="122"/>
        <v>0.4733786518</v>
      </c>
      <c r="P152" s="262">
        <f t="shared" si="123"/>
        <v>0.953609261</v>
      </c>
    </row>
    <row r="153" ht="12.75" customHeight="1" outlineLevel="1">
      <c r="B153" s="154" t="s">
        <v>238</v>
      </c>
      <c r="D153" s="263" t="s">
        <v>36</v>
      </c>
      <c r="E153" s="153"/>
      <c r="F153" s="194">
        <f t="shared" ref="F153:K153" si="126">+SUM(F149:F152)</f>
        <v>67.64</v>
      </c>
      <c r="G153" s="194">
        <f t="shared" si="126"/>
        <v>43.874</v>
      </c>
      <c r="H153" s="194">
        <f t="shared" si="126"/>
        <v>92.05</v>
      </c>
      <c r="I153" s="194">
        <f t="shared" si="126"/>
        <v>105.479</v>
      </c>
      <c r="J153" s="194">
        <f t="shared" si="126"/>
        <v>91.582</v>
      </c>
      <c r="K153" s="194">
        <f t="shared" si="126"/>
        <v>70.982</v>
      </c>
      <c r="L153" s="269">
        <f>Capex!P33</f>
        <v>79.26337197</v>
      </c>
      <c r="M153" s="269">
        <f>Capex!Q33</f>
        <v>83.32238625</v>
      </c>
      <c r="N153" s="269">
        <f>Capex!R33</f>
        <v>87.91342219</v>
      </c>
      <c r="O153" s="269">
        <f>Capex!S33</f>
        <v>92.74378957</v>
      </c>
      <c r="P153" s="269">
        <f>Capex!T33</f>
        <v>97.65276878</v>
      </c>
    </row>
    <row r="154" ht="12.75" customHeight="1" outlineLevel="1">
      <c r="D154" s="153"/>
      <c r="E154" s="153"/>
    </row>
    <row r="155" ht="12.75" customHeight="1" outlineLevel="1">
      <c r="B155" s="227" t="s">
        <v>239</v>
      </c>
      <c r="D155" s="153"/>
      <c r="E155" s="153"/>
    </row>
    <row r="156" ht="12.75" customHeight="1" outlineLevel="1">
      <c r="B156" s="171" t="s">
        <v>232</v>
      </c>
      <c r="D156" s="153" t="s">
        <v>32</v>
      </c>
      <c r="E156" s="153"/>
      <c r="F156" s="224">
        <f t="shared" ref="F156:F159" si="128">+F149/$F$153</f>
        <v>0.9836487286</v>
      </c>
      <c r="G156" s="224">
        <f t="shared" ref="G156:G159" si="129">+G149/$G$153</f>
        <v>0.9661074896</v>
      </c>
      <c r="H156" s="224">
        <f t="shared" ref="H156:H159" si="130">+H149/$H$153</f>
        <v>0.9857251494</v>
      </c>
      <c r="I156" s="224">
        <f t="shared" ref="I156:I159" si="131">+I149/$I$153</f>
        <v>0.9885095611</v>
      </c>
      <c r="J156" s="224">
        <f t="shared" ref="J156:J159" si="132">+J149/$J$153</f>
        <v>0.9699395078</v>
      </c>
      <c r="K156" s="224">
        <f t="shared" ref="K156:K159" si="133">+K149/$K$153</f>
        <v>0.9652447099</v>
      </c>
      <c r="L156" s="279">
        <f t="shared" ref="L156:L159" si="134">+AVERAGE(F156:K156)</f>
        <v>0.9765291911</v>
      </c>
      <c r="M156" s="279">
        <f t="shared" ref="M156:P156" si="127">+L156</f>
        <v>0.9765291911</v>
      </c>
      <c r="N156" s="279">
        <f t="shared" si="127"/>
        <v>0.9765291911</v>
      </c>
      <c r="O156" s="279">
        <f t="shared" si="127"/>
        <v>0.9765291911</v>
      </c>
      <c r="P156" s="279">
        <f t="shared" si="127"/>
        <v>0.9765291911</v>
      </c>
    </row>
    <row r="157" ht="12.75" customHeight="1" outlineLevel="1">
      <c r="B157" s="171" t="s">
        <v>228</v>
      </c>
      <c r="D157" s="153" t="s">
        <v>32</v>
      </c>
      <c r="E157" s="153"/>
      <c r="F157" s="224">
        <f t="shared" si="128"/>
        <v>0</v>
      </c>
      <c r="G157" s="224">
        <f t="shared" si="129"/>
        <v>0</v>
      </c>
      <c r="H157" s="224">
        <f t="shared" si="130"/>
        <v>0</v>
      </c>
      <c r="I157" s="224">
        <f t="shared" si="131"/>
        <v>0</v>
      </c>
      <c r="J157" s="224">
        <f t="shared" si="132"/>
        <v>0</v>
      </c>
      <c r="K157" s="224">
        <f t="shared" si="133"/>
        <v>0</v>
      </c>
      <c r="L157" s="279">
        <f t="shared" si="134"/>
        <v>0</v>
      </c>
      <c r="M157" s="279">
        <f t="shared" ref="M157:P157" si="135">+L157</f>
        <v>0</v>
      </c>
      <c r="N157" s="279">
        <f t="shared" si="135"/>
        <v>0</v>
      </c>
      <c r="O157" s="279">
        <f t="shared" si="135"/>
        <v>0</v>
      </c>
      <c r="P157" s="279">
        <f t="shared" si="135"/>
        <v>0</v>
      </c>
    </row>
    <row r="158" ht="12.75" customHeight="1" outlineLevel="1">
      <c r="B158" s="171" t="s">
        <v>229</v>
      </c>
      <c r="D158" s="153" t="s">
        <v>32</v>
      </c>
      <c r="E158" s="153"/>
      <c r="F158" s="224">
        <f t="shared" si="128"/>
        <v>0.009195742164</v>
      </c>
      <c r="G158" s="224">
        <f t="shared" si="129"/>
        <v>0.02792086429</v>
      </c>
      <c r="H158" s="224">
        <f t="shared" si="130"/>
        <v>0.01219989136</v>
      </c>
      <c r="I158" s="224">
        <f t="shared" si="131"/>
        <v>0.003877549086</v>
      </c>
      <c r="J158" s="224">
        <f t="shared" si="132"/>
        <v>0.02794217204</v>
      </c>
      <c r="K158" s="224">
        <f t="shared" si="133"/>
        <v>0.02906370629</v>
      </c>
      <c r="L158" s="279">
        <f t="shared" si="134"/>
        <v>0.01836665421</v>
      </c>
      <c r="M158" s="279">
        <f t="shared" ref="M158:P158" si="136">+L158</f>
        <v>0.01836665421</v>
      </c>
      <c r="N158" s="279">
        <f t="shared" si="136"/>
        <v>0.01836665421</v>
      </c>
      <c r="O158" s="279">
        <f t="shared" si="136"/>
        <v>0.01836665421</v>
      </c>
      <c r="P158" s="279">
        <f t="shared" si="136"/>
        <v>0.01836665421</v>
      </c>
    </row>
    <row r="159" ht="12.75" customHeight="1" outlineLevel="1">
      <c r="B159" s="171" t="s">
        <v>43</v>
      </c>
      <c r="D159" s="153" t="s">
        <v>32</v>
      </c>
      <c r="E159" s="153"/>
      <c r="F159" s="224">
        <f t="shared" si="128"/>
        <v>0.007155529273</v>
      </c>
      <c r="G159" s="224">
        <f t="shared" si="129"/>
        <v>0.005971646077</v>
      </c>
      <c r="H159" s="224">
        <f t="shared" si="130"/>
        <v>0.002074959261</v>
      </c>
      <c r="I159" s="224">
        <f t="shared" si="131"/>
        <v>0.00761288977</v>
      </c>
      <c r="J159" s="224">
        <f t="shared" si="132"/>
        <v>0.002118320194</v>
      </c>
      <c r="K159" s="224">
        <f t="shared" si="133"/>
        <v>0.005691583782</v>
      </c>
      <c r="L159" s="279">
        <f t="shared" si="134"/>
        <v>0.005104154726</v>
      </c>
      <c r="M159" s="279">
        <f t="shared" ref="M159:P159" si="137">+L159</f>
        <v>0.005104154726</v>
      </c>
      <c r="N159" s="279">
        <f t="shared" si="137"/>
        <v>0.005104154726</v>
      </c>
      <c r="O159" s="279">
        <f t="shared" si="137"/>
        <v>0.005104154726</v>
      </c>
      <c r="P159" s="279">
        <f t="shared" si="137"/>
        <v>0.005104154726</v>
      </c>
    </row>
    <row r="160" ht="12.75" customHeight="1" outlineLevel="1">
      <c r="D160" s="153"/>
      <c r="E160" s="153"/>
    </row>
    <row r="161" ht="12.75" customHeight="1" outlineLevel="1">
      <c r="D161" s="153"/>
      <c r="E161" s="153"/>
    </row>
    <row r="162" ht="12.75" customHeight="1">
      <c r="A162" s="153" t="s">
        <v>33</v>
      </c>
      <c r="B162" s="208" t="s">
        <v>240</v>
      </c>
      <c r="C162" s="275"/>
      <c r="D162" s="276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</row>
    <row r="163" ht="12.75" customHeight="1">
      <c r="D163" s="153"/>
    </row>
    <row r="164" ht="12.75" customHeight="1">
      <c r="B164" s="196" t="s">
        <v>241</v>
      </c>
      <c r="D164" s="153"/>
    </row>
    <row r="165" ht="12.75" customHeight="1">
      <c r="B165" s="78" t="s">
        <v>51</v>
      </c>
      <c r="D165" s="153" t="s">
        <v>36</v>
      </c>
      <c r="E165" s="154"/>
      <c r="F165" s="222">
        <f>Buildup!E24</f>
        <v>1.842</v>
      </c>
      <c r="G165" s="222">
        <f>Buildup!F24</f>
        <v>1.82</v>
      </c>
      <c r="H165" s="222">
        <f>Buildup!G24</f>
        <v>3.179</v>
      </c>
      <c r="I165" s="222">
        <f>Buildup!H24</f>
        <v>14.751</v>
      </c>
      <c r="J165" s="222">
        <f>Buildup!I24</f>
        <v>5.793</v>
      </c>
      <c r="K165" s="222">
        <f>Buildup!J24</f>
        <v>4.888</v>
      </c>
      <c r="L165" s="257">
        <f>Buildup!J36</f>
        <v>155.834</v>
      </c>
      <c r="M165" s="257">
        <f>Buildup!K36</f>
        <v>149.6290078</v>
      </c>
      <c r="N165" s="257">
        <f>Buildup!L36</f>
        <v>172.8850783</v>
      </c>
      <c r="O165" s="257">
        <f>Buildup!M36</f>
        <v>191.901458</v>
      </c>
      <c r="P165" s="257">
        <f>Buildup!N36</f>
        <v>191.901458</v>
      </c>
    </row>
    <row r="166" ht="12.75" customHeight="1">
      <c r="B166" s="78" t="s">
        <v>242</v>
      </c>
      <c r="D166" s="153" t="s">
        <v>32</v>
      </c>
      <c r="E166" s="154"/>
      <c r="G166" s="225">
        <f>+G165/AVERAGE(Buildup!E36:F36)</f>
        <v>0.02451607689</v>
      </c>
      <c r="H166" s="225">
        <f>+H165/AVERAGE(Buildup!F36:G36)</f>
        <v>0.01838459603</v>
      </c>
      <c r="I166" s="225">
        <f>+I165/AVERAGE(Buildup!G36:H36)</f>
        <v>0.096795467</v>
      </c>
      <c r="J166" s="225">
        <f>+J165/AVERAGE(Buildup!H36:I36)</f>
        <v>0.08566865323</v>
      </c>
      <c r="K166" s="225">
        <f>+K165/AVERAGE(Buildup!I36:J36)</f>
        <v>0.04495208667</v>
      </c>
      <c r="L166" s="226">
        <f t="shared" ref="L166:P166" si="138">+K166-0.5%</f>
        <v>0.03995208667</v>
      </c>
      <c r="M166" s="226">
        <f t="shared" si="138"/>
        <v>0.03495208667</v>
      </c>
      <c r="N166" s="226">
        <f t="shared" si="138"/>
        <v>0.02995208667</v>
      </c>
      <c r="O166" s="226">
        <f t="shared" si="138"/>
        <v>0.02495208667</v>
      </c>
      <c r="P166" s="226">
        <f t="shared" si="138"/>
        <v>0.01995208667</v>
      </c>
    </row>
    <row r="167" ht="12.75" customHeight="1">
      <c r="D167" s="153"/>
    </row>
    <row r="168" ht="12.75" customHeight="1">
      <c r="B168" s="196" t="s">
        <v>243</v>
      </c>
      <c r="D168" s="153"/>
    </row>
    <row r="169" ht="12.75" customHeight="1">
      <c r="B169" s="78" t="s">
        <v>52</v>
      </c>
      <c r="D169" s="153" t="s">
        <v>36</v>
      </c>
      <c r="E169" s="154"/>
      <c r="F169" s="222">
        <f>-Buildup!E25</f>
        <v>48.386</v>
      </c>
      <c r="G169" s="222">
        <f>-Buildup!F25</f>
        <v>56.473</v>
      </c>
      <c r="H169" s="222">
        <f>-Buildup!G25</f>
        <v>61.591</v>
      </c>
      <c r="I169" s="222">
        <f>-Buildup!H25</f>
        <v>57.124</v>
      </c>
      <c r="J169" s="222">
        <f>-Buildup!I25</f>
        <v>70.526</v>
      </c>
      <c r="K169" s="222">
        <f>-Buildup!J25</f>
        <v>79.206</v>
      </c>
      <c r="L169" s="257">
        <f t="shared" ref="L169:P169" si="139">-L249</f>
        <v>39.6623569</v>
      </c>
      <c r="M169" s="257">
        <f t="shared" si="139"/>
        <v>28.92988642</v>
      </c>
      <c r="N169" s="257">
        <f t="shared" si="139"/>
        <v>19.4558003</v>
      </c>
      <c r="O169" s="257">
        <f t="shared" si="139"/>
        <v>11.50498212</v>
      </c>
      <c r="P169" s="257">
        <f t="shared" si="139"/>
        <v>5.377864472</v>
      </c>
    </row>
    <row r="170" ht="12.75" customHeight="1">
      <c r="B170" s="78" t="s">
        <v>244</v>
      </c>
      <c r="D170" s="153" t="s">
        <v>32</v>
      </c>
      <c r="E170" s="154"/>
      <c r="G170" s="225">
        <f t="shared" ref="G170:K170" si="140">+G169/AVERAGE(F172:G172)</f>
        <v>0.06541557009</v>
      </c>
      <c r="H170" s="225">
        <f t="shared" si="140"/>
        <v>0.06614690087</v>
      </c>
      <c r="I170" s="225">
        <f t="shared" si="140"/>
        <v>0.06536214696</v>
      </c>
      <c r="J170" s="225">
        <f t="shared" si="140"/>
        <v>0.08732047864</v>
      </c>
      <c r="K170" s="225">
        <f t="shared" si="140"/>
        <v>0.1019625007</v>
      </c>
      <c r="L170" s="226">
        <f t="shared" ref="L170:P170" si="141">K170</f>
        <v>0.1019625007</v>
      </c>
      <c r="M170" s="226">
        <f t="shared" si="141"/>
        <v>0.1019625007</v>
      </c>
      <c r="N170" s="226">
        <f t="shared" si="141"/>
        <v>0.1019625007</v>
      </c>
      <c r="O170" s="226">
        <f t="shared" si="141"/>
        <v>0.1019625007</v>
      </c>
      <c r="P170" s="226">
        <f t="shared" si="141"/>
        <v>0.1019625007</v>
      </c>
    </row>
    <row r="171" ht="12.75" customHeight="1">
      <c r="D171" s="153"/>
    </row>
    <row r="172" ht="12.75" customHeight="1">
      <c r="B172" s="78" t="s">
        <v>245</v>
      </c>
      <c r="D172" s="153" t="s">
        <v>36</v>
      </c>
      <c r="E172" s="154"/>
      <c r="F172" s="222">
        <f>Buildup!E57+Buildup!E67</f>
        <v>800.798</v>
      </c>
      <c r="G172" s="222">
        <f>Buildup!F57+Buildup!F67</f>
        <v>925.794</v>
      </c>
      <c r="H172" s="222">
        <f>Buildup!G57+Buildup!G67</f>
        <v>936.455</v>
      </c>
      <c r="I172" s="222">
        <f>Buildup!H57+Buildup!H67</f>
        <v>811.468</v>
      </c>
      <c r="J172" s="222">
        <f>Buildup!I57+Buildup!I67</f>
        <v>803.869</v>
      </c>
      <c r="K172" s="222">
        <f>Buildup!J57+Buildup!J67</f>
        <v>749.761</v>
      </c>
      <c r="L172" s="281">
        <f>Buildup!K57+Buildup!K67</f>
        <v>640.3345737</v>
      </c>
      <c r="M172" s="281">
        <f>Buildup!L57+Buildup!L67</f>
        <v>525.1194893</v>
      </c>
      <c r="N172" s="281">
        <f>Buildup!M57+Buildup!M67</f>
        <v>403.8095271</v>
      </c>
      <c r="O172" s="281">
        <f>Buildup!N57+Buildup!N67</f>
        <v>276.0822678</v>
      </c>
      <c r="P172" s="281">
        <f>Buildup!O57+Buildup!O67</f>
        <v>141.5982365</v>
      </c>
    </row>
    <row r="173" ht="12.75" customHeight="1">
      <c r="D173" s="153"/>
    </row>
    <row r="174" ht="12.75" customHeight="1">
      <c r="A174" s="153" t="s">
        <v>33</v>
      </c>
      <c r="B174" s="208" t="s">
        <v>246</v>
      </c>
      <c r="C174" s="282"/>
      <c r="D174" s="283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2"/>
      <c r="P174" s="282"/>
    </row>
    <row r="175" ht="12.75" customHeight="1">
      <c r="D175" s="153"/>
    </row>
    <row r="176" ht="12.75" customHeight="1">
      <c r="B176" s="196" t="s">
        <v>247</v>
      </c>
      <c r="D176" s="153"/>
    </row>
    <row r="177" ht="12.75" customHeight="1">
      <c r="B177" s="78" t="s">
        <v>53</v>
      </c>
      <c r="D177" s="153" t="s">
        <v>36</v>
      </c>
      <c r="E177" s="154"/>
      <c r="F177" s="222">
        <f>Buildup!E26</f>
        <v>-17.939</v>
      </c>
      <c r="G177" s="222">
        <f>Buildup!F26</f>
        <v>-149.736</v>
      </c>
      <c r="H177" s="222">
        <f>Buildup!G26</f>
        <v>93.787</v>
      </c>
      <c r="I177" s="222">
        <f>Buildup!H26</f>
        <v>-101.814</v>
      </c>
      <c r="J177" s="222">
        <f>Buildup!I26</f>
        <v>-44.152</v>
      </c>
      <c r="K177" s="222">
        <f>Buildup!J26</f>
        <v>216.192</v>
      </c>
      <c r="L177" s="281">
        <f>Buildup!K26</f>
        <v>411.0820722</v>
      </c>
      <c r="M177" s="281">
        <f>Buildup!L26</f>
        <v>467.9118437</v>
      </c>
      <c r="N177" s="281">
        <f>Buildup!M26</f>
        <v>539.6581546</v>
      </c>
      <c r="O177" s="281">
        <f>Buildup!N26</f>
        <v>564.105115</v>
      </c>
      <c r="P177" s="281">
        <f>Buildup!O26</f>
        <v>584.6007825</v>
      </c>
    </row>
    <row r="178" ht="12.75" customHeight="1">
      <c r="B178" s="78" t="s">
        <v>248</v>
      </c>
      <c r="D178" s="153" t="s">
        <v>36</v>
      </c>
      <c r="E178" s="154"/>
      <c r="F178" s="222">
        <f>Buildup!E28</f>
        <v>-52.389</v>
      </c>
      <c r="G178" s="222">
        <f>Buildup!F28</f>
        <v>-0.706</v>
      </c>
      <c r="H178" s="222">
        <f>Buildup!G28</f>
        <v>-53.913</v>
      </c>
      <c r="I178" s="222">
        <f>Buildup!H28</f>
        <v>20.132</v>
      </c>
      <c r="J178" s="222">
        <f>Buildup!I28</f>
        <v>34.169</v>
      </c>
      <c r="K178" s="222">
        <f>Buildup!J28</f>
        <v>-79.059</v>
      </c>
      <c r="L178" s="257">
        <f t="shared" ref="L178:P178" si="142">-L177*L179</f>
        <v>-121.2692113</v>
      </c>
      <c r="M178" s="257">
        <f t="shared" si="142"/>
        <v>-138.0339939</v>
      </c>
      <c r="N178" s="257">
        <f t="shared" si="142"/>
        <v>-159.1991556</v>
      </c>
      <c r="O178" s="257">
        <f t="shared" si="142"/>
        <v>-166.4110089</v>
      </c>
      <c r="P178" s="257">
        <f t="shared" si="142"/>
        <v>-172.4572308</v>
      </c>
    </row>
    <row r="179" ht="12.75" customHeight="1">
      <c r="B179" s="78" t="s">
        <v>249</v>
      </c>
      <c r="D179" s="153" t="s">
        <v>32</v>
      </c>
      <c r="E179" s="154"/>
      <c r="F179" s="224">
        <f t="shared" ref="F179:G179" si="143">+F178/F177</f>
        <v>2.920396901</v>
      </c>
      <c r="G179" s="224">
        <f t="shared" si="143"/>
        <v>0.004714965005</v>
      </c>
      <c r="H179" s="224">
        <f t="shared" ref="H179:K179" si="144">-H178/H177</f>
        <v>0.5748451278</v>
      </c>
      <c r="I179" s="224">
        <f t="shared" si="144"/>
        <v>0.1977331212</v>
      </c>
      <c r="J179" s="224">
        <f t="shared" si="144"/>
        <v>0.7738947273</v>
      </c>
      <c r="K179" s="224">
        <f t="shared" si="144"/>
        <v>0.3656888321</v>
      </c>
      <c r="L179" s="284">
        <v>0.295</v>
      </c>
      <c r="M179" s="284">
        <v>0.295</v>
      </c>
      <c r="N179" s="284">
        <v>0.295</v>
      </c>
      <c r="O179" s="284">
        <v>0.295</v>
      </c>
      <c r="P179" s="284">
        <v>0.295</v>
      </c>
    </row>
    <row r="180" ht="12.75" customHeight="1">
      <c r="D180" s="153"/>
    </row>
    <row r="181" ht="12.75" customHeight="1">
      <c r="A181" s="153" t="s">
        <v>33</v>
      </c>
      <c r="B181" s="285" t="s">
        <v>57</v>
      </c>
      <c r="C181" s="208"/>
      <c r="D181" s="209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</row>
    <row r="182" ht="12.75" customHeight="1">
      <c r="D182" s="153"/>
    </row>
    <row r="183" ht="12.75" customHeight="1">
      <c r="A183" s="154" t="s">
        <v>33</v>
      </c>
      <c r="B183" s="208" t="s">
        <v>250</v>
      </c>
      <c r="C183" s="275"/>
      <c r="D183" s="276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</row>
    <row r="184" ht="12.75" customHeight="1">
      <c r="D184" s="153"/>
    </row>
    <row r="185" ht="12.75" customHeight="1">
      <c r="B185" s="154" t="s">
        <v>61</v>
      </c>
      <c r="D185" s="153" t="s">
        <v>36</v>
      </c>
      <c r="E185" s="154"/>
      <c r="F185" s="243">
        <f>Buildup!E36</f>
        <v>33.828</v>
      </c>
      <c r="G185" s="243">
        <f>Buildup!F36</f>
        <v>114.646</v>
      </c>
      <c r="H185" s="243">
        <f>Buildup!G36</f>
        <v>231.187</v>
      </c>
      <c r="I185" s="243">
        <f>Buildup!H36</f>
        <v>73.6</v>
      </c>
      <c r="J185" s="243">
        <f>Buildup!I36</f>
        <v>61.642</v>
      </c>
      <c r="K185" s="243">
        <f>Buildup!J36</f>
        <v>155.834</v>
      </c>
      <c r="L185" s="257">
        <f t="shared" ref="L185:P185" si="145">+L186*L14</f>
        <v>149.6290078</v>
      </c>
      <c r="M185" s="257">
        <f t="shared" si="145"/>
        <v>172.8850783</v>
      </c>
      <c r="N185" s="257">
        <f t="shared" si="145"/>
        <v>191.901458</v>
      </c>
      <c r="O185" s="257">
        <f t="shared" si="145"/>
        <v>191.901458</v>
      </c>
      <c r="P185" s="257">
        <f t="shared" si="145"/>
        <v>198.1476608</v>
      </c>
    </row>
    <row r="186" ht="12.75" customHeight="1">
      <c r="B186" s="154" t="s">
        <v>251</v>
      </c>
      <c r="D186" s="153" t="s">
        <v>36</v>
      </c>
      <c r="E186" s="154"/>
      <c r="F186" s="224">
        <f t="shared" ref="F186:K186" si="146">+F185/F14</f>
        <v>0.04549354607</v>
      </c>
      <c r="G186" s="224">
        <f t="shared" si="146"/>
        <v>0.2141038977</v>
      </c>
      <c r="H186" s="224">
        <f t="shared" si="146"/>
        <v>0.2466260365</v>
      </c>
      <c r="I186" s="224">
        <f t="shared" si="146"/>
        <v>0.07737057774</v>
      </c>
      <c r="J186" s="224">
        <f t="shared" si="146"/>
        <v>0.06980294105</v>
      </c>
      <c r="K186" s="224">
        <f t="shared" si="146"/>
        <v>0.1622390349</v>
      </c>
      <c r="L186" s="279">
        <f t="shared" ref="L186:P186" si="147">+K186</f>
        <v>0.1622390349</v>
      </c>
      <c r="M186" s="279">
        <f t="shared" si="147"/>
        <v>0.1622390349</v>
      </c>
      <c r="N186" s="279">
        <f t="shared" si="147"/>
        <v>0.1622390349</v>
      </c>
      <c r="O186" s="279">
        <f t="shared" si="147"/>
        <v>0.1622390349</v>
      </c>
      <c r="P186" s="279">
        <f t="shared" si="147"/>
        <v>0.1622390349</v>
      </c>
    </row>
    <row r="187" ht="12.75" customHeight="1">
      <c r="D187" s="153"/>
    </row>
    <row r="188" ht="12.75" customHeight="1">
      <c r="A188" s="154" t="s">
        <v>33</v>
      </c>
      <c r="B188" s="208" t="s">
        <v>252</v>
      </c>
      <c r="C188" s="208"/>
      <c r="D188" s="209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</row>
    <row r="189" ht="12.75" customHeight="1">
      <c r="D189" s="153"/>
    </row>
    <row r="190" ht="12.75" customHeight="1">
      <c r="B190" s="154" t="s">
        <v>35</v>
      </c>
      <c r="D190" s="153" t="s">
        <v>36</v>
      </c>
      <c r="E190" s="154"/>
      <c r="F190" s="195">
        <f>Buildup!E6</f>
        <v>743.578</v>
      </c>
      <c r="G190" s="195">
        <f>Buildup!F6</f>
        <v>535.469</v>
      </c>
      <c r="H190" s="195">
        <f>Buildup!G6</f>
        <v>937.399</v>
      </c>
      <c r="I190" s="195">
        <f>Buildup!H6</f>
        <v>951.266</v>
      </c>
      <c r="J190" s="195">
        <f>Buildup!I6</f>
        <v>883.086</v>
      </c>
      <c r="K190" s="195">
        <f>Buildup!J6</f>
        <v>960.521</v>
      </c>
      <c r="L190" s="286">
        <f t="shared" ref="L190:P190" si="148">L14</f>
        <v>922.2750116</v>
      </c>
      <c r="M190" s="286">
        <f t="shared" si="148"/>
        <v>1065.619494</v>
      </c>
      <c r="N190" s="286">
        <f t="shared" si="148"/>
        <v>1182.831605</v>
      </c>
      <c r="O190" s="286">
        <f t="shared" si="148"/>
        <v>1182.831605</v>
      </c>
      <c r="P190" s="286">
        <f t="shared" si="148"/>
        <v>1221.331605</v>
      </c>
    </row>
    <row r="191" ht="12.75" customHeight="1">
      <c r="B191" s="154" t="s">
        <v>253</v>
      </c>
      <c r="D191" s="153" t="s">
        <v>36</v>
      </c>
      <c r="E191" s="154"/>
      <c r="F191" s="126">
        <f t="shared" ref="F191:P191" si="149">F72</f>
        <v>445.219</v>
      </c>
      <c r="G191" s="126">
        <f t="shared" si="149"/>
        <v>373.69</v>
      </c>
      <c r="H191" s="126">
        <f t="shared" si="149"/>
        <v>473.27</v>
      </c>
      <c r="I191" s="126">
        <f t="shared" si="149"/>
        <v>550.612</v>
      </c>
      <c r="J191" s="126">
        <f t="shared" si="149"/>
        <v>531.438</v>
      </c>
      <c r="K191" s="126">
        <f t="shared" si="149"/>
        <v>522.649</v>
      </c>
      <c r="L191" s="127">
        <f t="shared" si="149"/>
        <v>501.8381821</v>
      </c>
      <c r="M191" s="127">
        <f t="shared" si="149"/>
        <v>579.8363213</v>
      </c>
      <c r="N191" s="127">
        <f t="shared" si="149"/>
        <v>643.6150334</v>
      </c>
      <c r="O191" s="127">
        <f t="shared" si="149"/>
        <v>643.6150334</v>
      </c>
      <c r="P191" s="127">
        <f t="shared" si="149"/>
        <v>664.5640668</v>
      </c>
    </row>
    <row r="192" ht="12.75" customHeight="1">
      <c r="D192" s="153"/>
    </row>
    <row r="193" ht="12.75" customHeight="1">
      <c r="B193" s="227" t="s">
        <v>59</v>
      </c>
      <c r="D193" s="153"/>
    </row>
    <row r="194" ht="12.75" customHeight="1">
      <c r="B194" s="154" t="s">
        <v>63</v>
      </c>
      <c r="D194" s="153" t="s">
        <v>36</v>
      </c>
      <c r="E194" s="154"/>
      <c r="F194" s="287">
        <f>Buildup!E37</f>
        <v>36.159</v>
      </c>
      <c r="G194" s="222">
        <f>Buildup!F37</f>
        <v>28.781</v>
      </c>
      <c r="H194" s="222">
        <f>Buildup!G37</f>
        <v>43.806</v>
      </c>
      <c r="I194" s="222">
        <f>Buildup!H37</f>
        <v>28.586</v>
      </c>
      <c r="J194" s="222">
        <f>Buildup!I37</f>
        <v>20.316</v>
      </c>
      <c r="K194" s="222">
        <f>Buildup!J37</f>
        <v>33.477</v>
      </c>
      <c r="L194" s="288">
        <f t="shared" ref="L194:L198" si="150">L216*$L$190/365</f>
        <v>27.0254637</v>
      </c>
      <c r="M194" s="288">
        <f t="shared" ref="M194:M198" si="151">M216*$M$190/365</f>
        <v>31.22589315</v>
      </c>
      <c r="N194" s="288">
        <f t="shared" ref="N194:N198" si="152">N216*$N$190/365</f>
        <v>34.66056459</v>
      </c>
      <c r="O194" s="288">
        <f t="shared" ref="O194:O198" si="153">O216*$O$190/365</f>
        <v>34.66056459</v>
      </c>
      <c r="P194" s="288">
        <f t="shared" ref="P194:P198" si="154">P216*$P$190/365</f>
        <v>35.78873171</v>
      </c>
    </row>
    <row r="195" ht="12.75" customHeight="1">
      <c r="B195" s="36" t="s">
        <v>64</v>
      </c>
      <c r="D195" s="153" t="s">
        <v>36</v>
      </c>
      <c r="E195" s="154"/>
      <c r="F195" s="287">
        <f>Buildup!E38</f>
        <v>65.344</v>
      </c>
      <c r="G195" s="222">
        <f>Buildup!F38</f>
        <v>89.53</v>
      </c>
      <c r="H195" s="222">
        <f>Buildup!G38</f>
        <v>55.971</v>
      </c>
      <c r="I195" s="222">
        <f>Buildup!H38</f>
        <v>65.389</v>
      </c>
      <c r="J195" s="222">
        <f>Buildup!I38</f>
        <v>77.038</v>
      </c>
      <c r="K195" s="222">
        <f>Buildup!J38</f>
        <v>67.424</v>
      </c>
      <c r="L195" s="288">
        <f t="shared" si="150"/>
        <v>0.1773679829</v>
      </c>
      <c r="M195" s="288">
        <f t="shared" si="151"/>
        <v>0.2049353803</v>
      </c>
      <c r="N195" s="288">
        <f t="shared" si="152"/>
        <v>0.2274771117</v>
      </c>
      <c r="O195" s="288">
        <f t="shared" si="153"/>
        <v>0.2274771117</v>
      </c>
      <c r="P195" s="288">
        <f t="shared" si="154"/>
        <v>0.2348812669</v>
      </c>
    </row>
    <row r="196" ht="12.75" customHeight="1">
      <c r="B196" s="100" t="s">
        <v>65</v>
      </c>
      <c r="D196" s="153" t="s">
        <v>36</v>
      </c>
      <c r="E196" s="154"/>
      <c r="F196" s="287">
        <f>Buildup!E39</f>
        <v>5.416</v>
      </c>
      <c r="G196" s="222">
        <f>Buildup!F39</f>
        <v>0.223</v>
      </c>
      <c r="H196" s="222">
        <f>Buildup!G39</f>
        <v>0</v>
      </c>
      <c r="I196" s="222">
        <f>Buildup!H39</f>
        <v>0</v>
      </c>
      <c r="J196" s="222">
        <f>Buildup!I39</f>
        <v>0.655</v>
      </c>
      <c r="K196" s="222">
        <f>Buildup!J39</f>
        <v>0.948</v>
      </c>
      <c r="L196" s="288">
        <f t="shared" si="150"/>
        <v>0.002183999634</v>
      </c>
      <c r="M196" s="288">
        <f t="shared" si="151"/>
        <v>0.002523447515</v>
      </c>
      <c r="N196" s="288">
        <f t="shared" si="152"/>
        <v>0.002801012453</v>
      </c>
      <c r="O196" s="288">
        <f t="shared" si="153"/>
        <v>0.002801012453</v>
      </c>
      <c r="P196" s="288">
        <f t="shared" si="154"/>
        <v>0.002892182641</v>
      </c>
    </row>
    <row r="197" ht="12.75" customHeight="1">
      <c r="B197" s="98" t="s">
        <v>66</v>
      </c>
      <c r="D197" s="153" t="s">
        <v>36</v>
      </c>
      <c r="E197" s="154"/>
      <c r="F197" s="287">
        <f>Buildup!E40</f>
        <v>36.709</v>
      </c>
      <c r="G197" s="222">
        <f>Buildup!F40</f>
        <v>60.961</v>
      </c>
      <c r="H197" s="222">
        <f>Buildup!G40</f>
        <v>59.824</v>
      </c>
      <c r="I197" s="222">
        <f>Buildup!H40</f>
        <v>57.093</v>
      </c>
      <c r="J197" s="222">
        <f>Buildup!I40</f>
        <v>48.305</v>
      </c>
      <c r="K197" s="222">
        <f>Buildup!J40</f>
        <v>38.07</v>
      </c>
      <c r="L197" s="288">
        <f t="shared" si="150"/>
        <v>47.45193307</v>
      </c>
      <c r="M197" s="288">
        <f t="shared" si="151"/>
        <v>54.82714406</v>
      </c>
      <c r="N197" s="288">
        <f t="shared" si="152"/>
        <v>60.85781946</v>
      </c>
      <c r="O197" s="288">
        <f t="shared" si="153"/>
        <v>60.85781946</v>
      </c>
      <c r="P197" s="288">
        <f t="shared" si="154"/>
        <v>62.83868135</v>
      </c>
    </row>
    <row r="198" ht="12.75" customHeight="1">
      <c r="B198" s="100" t="s">
        <v>67</v>
      </c>
      <c r="D198" s="153" t="s">
        <v>36</v>
      </c>
      <c r="E198" s="154"/>
      <c r="F198" s="287">
        <f>Buildup!E41</f>
        <v>301.986</v>
      </c>
      <c r="G198" s="222">
        <f>Buildup!F41</f>
        <v>0</v>
      </c>
      <c r="H198" s="222">
        <f>Buildup!G41</f>
        <v>0</v>
      </c>
      <c r="I198" s="222">
        <f>Buildup!H41</f>
        <v>0</v>
      </c>
      <c r="J198" s="222">
        <f>Buildup!I41</f>
        <v>0</v>
      </c>
      <c r="K198" s="222">
        <f>Buildup!J41</f>
        <v>0</v>
      </c>
      <c r="L198" s="288">
        <f t="shared" si="150"/>
        <v>0</v>
      </c>
      <c r="M198" s="288">
        <f t="shared" si="151"/>
        <v>0</v>
      </c>
      <c r="N198" s="288">
        <f t="shared" si="152"/>
        <v>0</v>
      </c>
      <c r="O198" s="288">
        <f t="shared" si="153"/>
        <v>0</v>
      </c>
      <c r="P198" s="288">
        <f t="shared" si="154"/>
        <v>0</v>
      </c>
    </row>
    <row r="199" ht="12.75" customHeight="1">
      <c r="B199" s="289" t="s">
        <v>254</v>
      </c>
      <c r="C199" s="290"/>
      <c r="D199" s="291" t="s">
        <v>36</v>
      </c>
      <c r="E199" s="289"/>
      <c r="F199" s="292">
        <f t="shared" ref="F199:K199" si="155">+SUM(F194:F198)</f>
        <v>445.614</v>
      </c>
      <c r="G199" s="293">
        <f t="shared" si="155"/>
        <v>179.495</v>
      </c>
      <c r="H199" s="293">
        <f t="shared" si="155"/>
        <v>159.601</v>
      </c>
      <c r="I199" s="293">
        <f t="shared" si="155"/>
        <v>151.068</v>
      </c>
      <c r="J199" s="293">
        <f t="shared" si="155"/>
        <v>146.314</v>
      </c>
      <c r="K199" s="293">
        <f t="shared" si="155"/>
        <v>139.919</v>
      </c>
      <c r="L199" s="294">
        <f t="shared" ref="L199:P199" si="156">SUM(L194:L198)</f>
        <v>74.65694875</v>
      </c>
      <c r="M199" s="294">
        <f t="shared" si="156"/>
        <v>86.26049604</v>
      </c>
      <c r="N199" s="294">
        <f t="shared" si="156"/>
        <v>95.74866217</v>
      </c>
      <c r="O199" s="294">
        <f t="shared" si="156"/>
        <v>95.74866217</v>
      </c>
      <c r="P199" s="294">
        <f t="shared" si="156"/>
        <v>98.86518651</v>
      </c>
    </row>
    <row r="200" ht="12.75" customHeight="1">
      <c r="B200" s="154"/>
      <c r="D200" s="153"/>
      <c r="E200" s="154"/>
      <c r="F200" s="243"/>
      <c r="G200" s="195"/>
      <c r="H200" s="195"/>
      <c r="I200" s="195"/>
      <c r="J200" s="195"/>
      <c r="K200" s="195"/>
    </row>
    <row r="201" ht="12.75" customHeight="1">
      <c r="B201" s="227" t="s">
        <v>80</v>
      </c>
      <c r="D201" s="153"/>
      <c r="F201" s="243"/>
      <c r="G201" s="195"/>
      <c r="H201" s="195"/>
      <c r="I201" s="195"/>
      <c r="J201" s="195"/>
      <c r="K201" s="195"/>
    </row>
    <row r="202" ht="12.75" customHeight="1">
      <c r="B202" s="36" t="s">
        <v>83</v>
      </c>
      <c r="D202" s="153" t="s">
        <v>36</v>
      </c>
      <c r="E202" s="154"/>
      <c r="F202" s="287">
        <f>Buildup!E58</f>
        <v>8.448</v>
      </c>
      <c r="G202" s="222">
        <f>Buildup!F58</f>
        <v>10.07</v>
      </c>
      <c r="H202" s="222">
        <f>Buildup!G58</f>
        <v>1.168</v>
      </c>
      <c r="I202" s="222">
        <f>Buildup!H58</f>
        <v>0.198</v>
      </c>
      <c r="J202" s="222">
        <f>Buildup!I58</f>
        <v>1.046</v>
      </c>
      <c r="K202" s="222">
        <f>Buildup!J58</f>
        <v>0</v>
      </c>
      <c r="L202" s="257">
        <f t="shared" ref="L202:L206" si="157">L223*$L$191/365</f>
        <v>0.0006382402163</v>
      </c>
      <c r="M202" s="257">
        <f t="shared" ref="M202:M206" si="158">M223*$M$191/365</f>
        <v>0.0007374386253</v>
      </c>
      <c r="N202" s="257">
        <f t="shared" ref="N202:N206" si="159">N223*$N$191/365</f>
        <v>0.0008185526984</v>
      </c>
      <c r="O202" s="257">
        <f t="shared" ref="O202:O206" si="160">O223*$O$190/365</f>
        <v>0.00150433093</v>
      </c>
      <c r="P202" s="257">
        <f t="shared" ref="P202:P206" si="161">P223*$P$191/365</f>
        <v>0.0008451957799</v>
      </c>
    </row>
    <row r="203" ht="12.75" customHeight="1">
      <c r="B203" s="98" t="s">
        <v>84</v>
      </c>
      <c r="D203" s="153" t="s">
        <v>36</v>
      </c>
      <c r="E203" s="154"/>
      <c r="F203" s="287">
        <f>Buildup!E59</f>
        <v>178.175</v>
      </c>
      <c r="G203" s="222">
        <f>Buildup!F59</f>
        <v>222.64</v>
      </c>
      <c r="H203" s="222">
        <f>Buildup!G59</f>
        <v>229.693</v>
      </c>
      <c r="I203" s="222">
        <f>Buildup!H59</f>
        <v>251.239</v>
      </c>
      <c r="J203" s="222">
        <f>Buildup!I59</f>
        <v>242.213</v>
      </c>
      <c r="K203" s="222">
        <f>Buildup!J59</f>
        <v>189.711</v>
      </c>
      <c r="L203" s="257">
        <f t="shared" si="157"/>
        <v>213.2877953</v>
      </c>
      <c r="M203" s="257">
        <f t="shared" si="158"/>
        <v>246.4380252</v>
      </c>
      <c r="N203" s="257">
        <f t="shared" si="159"/>
        <v>273.5448126</v>
      </c>
      <c r="O203" s="257">
        <f t="shared" si="160"/>
        <v>502.7189126</v>
      </c>
      <c r="P203" s="257">
        <f t="shared" si="161"/>
        <v>282.4484259</v>
      </c>
    </row>
    <row r="204" ht="12.75" customHeight="1">
      <c r="B204" s="100" t="s">
        <v>85</v>
      </c>
      <c r="D204" s="153" t="s">
        <v>36</v>
      </c>
      <c r="E204" s="154"/>
      <c r="F204" s="287">
        <f>Buildup!E60</f>
        <v>53.407</v>
      </c>
      <c r="G204" s="222">
        <f>Buildup!F60</f>
        <v>15.107</v>
      </c>
      <c r="H204" s="222">
        <f>Buildup!G60</f>
        <v>2.241</v>
      </c>
      <c r="I204" s="222">
        <f>Buildup!H60</f>
        <v>0</v>
      </c>
      <c r="J204" s="222">
        <f>Buildup!I60</f>
        <v>0</v>
      </c>
      <c r="K204" s="222">
        <f>Buildup!J60</f>
        <v>0</v>
      </c>
      <c r="L204" s="257">
        <f t="shared" si="157"/>
        <v>0</v>
      </c>
      <c r="M204" s="257">
        <f t="shared" si="158"/>
        <v>0</v>
      </c>
      <c r="N204" s="257">
        <f t="shared" si="159"/>
        <v>0</v>
      </c>
      <c r="O204" s="257">
        <f t="shared" si="160"/>
        <v>0</v>
      </c>
      <c r="P204" s="257">
        <f t="shared" si="161"/>
        <v>0</v>
      </c>
    </row>
    <row r="205" ht="12.75" customHeight="1">
      <c r="B205" s="36" t="s">
        <v>86</v>
      </c>
      <c r="D205" s="153" t="s">
        <v>36</v>
      </c>
      <c r="E205" s="154"/>
      <c r="F205" s="287">
        <f>Buildup!E61</f>
        <v>55.482</v>
      </c>
      <c r="G205" s="222">
        <f>Buildup!F61</f>
        <v>65.883</v>
      </c>
      <c r="H205" s="222">
        <f>Buildup!G61</f>
        <v>70.688</v>
      </c>
      <c r="I205" s="222">
        <f>Buildup!H61</f>
        <v>74.869</v>
      </c>
      <c r="J205" s="222">
        <f>Buildup!I61</f>
        <v>60.495</v>
      </c>
      <c r="K205" s="222">
        <f>Buildup!J61</f>
        <v>89.891</v>
      </c>
      <c r="L205" s="257">
        <f t="shared" si="157"/>
        <v>0.1103559784</v>
      </c>
      <c r="M205" s="257">
        <f t="shared" si="158"/>
        <v>0.127508043</v>
      </c>
      <c r="N205" s="257">
        <f t="shared" si="159"/>
        <v>0.1415332058</v>
      </c>
      <c r="O205" s="257">
        <f t="shared" si="160"/>
        <v>0.2601088232</v>
      </c>
      <c r="P205" s="257">
        <f t="shared" si="161"/>
        <v>0.1461399718</v>
      </c>
    </row>
    <row r="206" ht="12.75" customHeight="1">
      <c r="B206" s="104" t="s">
        <v>255</v>
      </c>
      <c r="D206" s="153" t="s">
        <v>36</v>
      </c>
      <c r="E206" s="154"/>
      <c r="F206" s="287">
        <f>Buildup!E62</f>
        <v>171.484</v>
      </c>
      <c r="G206" s="222">
        <f>Buildup!F62</f>
        <v>0</v>
      </c>
      <c r="H206" s="222">
        <f>Buildup!G62</f>
        <v>0</v>
      </c>
      <c r="I206" s="222">
        <f>Buildup!H62</f>
        <v>0</v>
      </c>
      <c r="J206" s="222">
        <f>Buildup!I62</f>
        <v>0</v>
      </c>
      <c r="K206" s="222">
        <f>Buildup!J62</f>
        <v>0</v>
      </c>
      <c r="L206" s="257">
        <f t="shared" si="157"/>
        <v>0</v>
      </c>
      <c r="M206" s="257">
        <f t="shared" si="158"/>
        <v>0</v>
      </c>
      <c r="N206" s="257">
        <f t="shared" si="159"/>
        <v>0</v>
      </c>
      <c r="O206" s="257">
        <f t="shared" si="160"/>
        <v>0</v>
      </c>
      <c r="P206" s="257">
        <f t="shared" si="161"/>
        <v>0</v>
      </c>
    </row>
    <row r="207" ht="12.75" customHeight="1">
      <c r="B207" s="290" t="s">
        <v>256</v>
      </c>
      <c r="C207" s="290"/>
      <c r="D207" s="291" t="s">
        <v>36</v>
      </c>
      <c r="E207" s="289"/>
      <c r="F207" s="292">
        <f t="shared" ref="F207:K207" si="162">+SUM(F202:F206)</f>
        <v>466.996</v>
      </c>
      <c r="G207" s="293">
        <f t="shared" si="162"/>
        <v>313.7</v>
      </c>
      <c r="H207" s="293">
        <f t="shared" si="162"/>
        <v>303.79</v>
      </c>
      <c r="I207" s="293">
        <f t="shared" si="162"/>
        <v>326.306</v>
      </c>
      <c r="J207" s="293">
        <f t="shared" si="162"/>
        <v>303.754</v>
      </c>
      <c r="K207" s="293">
        <f t="shared" si="162"/>
        <v>279.602</v>
      </c>
      <c r="L207" s="294">
        <f t="shared" ref="L207:P207" si="163">SUM(L202:L206)</f>
        <v>213.3987895</v>
      </c>
      <c r="M207" s="294">
        <f t="shared" si="163"/>
        <v>246.5662707</v>
      </c>
      <c r="N207" s="294">
        <f t="shared" si="163"/>
        <v>273.6871643</v>
      </c>
      <c r="O207" s="294">
        <f t="shared" si="163"/>
        <v>502.9805257</v>
      </c>
      <c r="P207" s="294">
        <f t="shared" si="163"/>
        <v>282.5954111</v>
      </c>
    </row>
    <row r="208" ht="12.75" customHeight="1">
      <c r="D208" s="153"/>
      <c r="F208" s="243"/>
      <c r="G208" s="243"/>
      <c r="H208" s="243"/>
      <c r="I208" s="243"/>
      <c r="J208" s="243"/>
      <c r="K208" s="243"/>
    </row>
    <row r="209" ht="12.75" customHeight="1">
      <c r="B209" s="295" t="s">
        <v>257</v>
      </c>
      <c r="C209" s="296"/>
      <c r="D209" s="297" t="s">
        <v>36</v>
      </c>
      <c r="E209" s="295"/>
      <c r="F209" s="294">
        <f t="shared" ref="F209:P209" si="164">+F199-F207</f>
        <v>-21.382</v>
      </c>
      <c r="G209" s="294">
        <f t="shared" si="164"/>
        <v>-134.205</v>
      </c>
      <c r="H209" s="294">
        <f t="shared" si="164"/>
        <v>-144.189</v>
      </c>
      <c r="I209" s="294">
        <f t="shared" si="164"/>
        <v>-175.238</v>
      </c>
      <c r="J209" s="294">
        <f t="shared" si="164"/>
        <v>-157.44</v>
      </c>
      <c r="K209" s="294">
        <f t="shared" si="164"/>
        <v>-139.683</v>
      </c>
      <c r="L209" s="294">
        <f t="shared" si="164"/>
        <v>-138.7418407</v>
      </c>
      <c r="M209" s="294">
        <f t="shared" si="164"/>
        <v>-160.3057747</v>
      </c>
      <c r="N209" s="294">
        <f t="shared" si="164"/>
        <v>-177.9385022</v>
      </c>
      <c r="O209" s="294">
        <f t="shared" si="164"/>
        <v>-407.2318635</v>
      </c>
      <c r="P209" s="294">
        <f t="shared" si="164"/>
        <v>-183.7302246</v>
      </c>
    </row>
    <row r="210" ht="12.75" customHeight="1">
      <c r="B210" s="154" t="s">
        <v>258</v>
      </c>
      <c r="D210" s="153" t="s">
        <v>32</v>
      </c>
      <c r="E210" s="154"/>
      <c r="F210" s="224">
        <f t="shared" ref="F210:P210" si="165">-F209/F190</f>
        <v>0.02875555759</v>
      </c>
      <c r="G210" s="224">
        <f t="shared" si="165"/>
        <v>0.2506307555</v>
      </c>
      <c r="H210" s="224">
        <f t="shared" si="165"/>
        <v>0.1538181713</v>
      </c>
      <c r="I210" s="224">
        <f t="shared" si="165"/>
        <v>0.1842155612</v>
      </c>
      <c r="J210" s="224">
        <f t="shared" si="165"/>
        <v>0.1782838818</v>
      </c>
      <c r="K210" s="224">
        <f t="shared" si="165"/>
        <v>0.1454242021</v>
      </c>
      <c r="L210" s="279">
        <f t="shared" si="165"/>
        <v>0.1504343488</v>
      </c>
      <c r="M210" s="279">
        <f t="shared" si="165"/>
        <v>0.1504343488</v>
      </c>
      <c r="N210" s="279">
        <f t="shared" si="165"/>
        <v>0.1504343488</v>
      </c>
      <c r="O210" s="279">
        <f t="shared" si="165"/>
        <v>0.3442855786</v>
      </c>
      <c r="P210" s="279">
        <f t="shared" si="165"/>
        <v>0.1504343488</v>
      </c>
    </row>
    <row r="211" ht="12.75" customHeight="1">
      <c r="D211" s="153"/>
    </row>
    <row r="212" ht="12.75" customHeight="1">
      <c r="B212" s="154" t="s">
        <v>259</v>
      </c>
      <c r="D212" s="263" t="s">
        <v>36</v>
      </c>
      <c r="E212" s="196"/>
      <c r="F212" s="195">
        <f t="shared" ref="F212:P212" si="166">-(F209-E209)</f>
        <v>21.382</v>
      </c>
      <c r="G212" s="195">
        <f t="shared" si="166"/>
        <v>112.823</v>
      </c>
      <c r="H212" s="195">
        <f t="shared" si="166"/>
        <v>9.984</v>
      </c>
      <c r="I212" s="195">
        <f t="shared" si="166"/>
        <v>31.049</v>
      </c>
      <c r="J212" s="195">
        <f t="shared" si="166"/>
        <v>-17.798</v>
      </c>
      <c r="K212" s="195">
        <f t="shared" si="166"/>
        <v>-17.757</v>
      </c>
      <c r="L212" s="257">
        <f t="shared" si="166"/>
        <v>-0.9411592578</v>
      </c>
      <c r="M212" s="257">
        <f t="shared" si="166"/>
        <v>21.56393392</v>
      </c>
      <c r="N212" s="257">
        <f t="shared" si="166"/>
        <v>17.63272751</v>
      </c>
      <c r="O212" s="257">
        <f t="shared" si="166"/>
        <v>229.2933614</v>
      </c>
      <c r="P212" s="257">
        <f t="shared" si="166"/>
        <v>-223.5016389</v>
      </c>
    </row>
    <row r="213" ht="12.75" customHeight="1">
      <c r="D213" s="153"/>
    </row>
    <row r="214" ht="12.75" customHeight="1">
      <c r="B214" s="196" t="s">
        <v>260</v>
      </c>
      <c r="D214" s="153"/>
    </row>
    <row r="215" ht="12.75" customHeight="1">
      <c r="B215" s="298" t="s">
        <v>59</v>
      </c>
      <c r="C215" s="299"/>
      <c r="D215" s="300"/>
      <c r="E215" s="299"/>
      <c r="F215" s="299"/>
      <c r="G215" s="299"/>
      <c r="H215" s="299"/>
      <c r="I215" s="299"/>
      <c r="J215" s="299"/>
      <c r="K215" s="299"/>
      <c r="L215" s="299"/>
      <c r="M215" s="299"/>
      <c r="N215" s="299"/>
      <c r="O215" s="299"/>
      <c r="P215" s="301"/>
    </row>
    <row r="216" ht="12.75" customHeight="1">
      <c r="B216" s="302" t="s">
        <v>261</v>
      </c>
      <c r="C216" s="154"/>
      <c r="D216" s="153" t="s">
        <v>262</v>
      </c>
      <c r="E216" s="154"/>
      <c r="F216" s="243">
        <f t="shared" ref="F216:K216" si="167">F194/F190*365</f>
        <v>17.74936187</v>
      </c>
      <c r="G216" s="195">
        <f t="shared" si="167"/>
        <v>19.6184373</v>
      </c>
      <c r="H216" s="195">
        <f t="shared" si="167"/>
        <v>17.0569736</v>
      </c>
      <c r="I216" s="195">
        <f t="shared" si="167"/>
        <v>10.96842524</v>
      </c>
      <c r="J216" s="195">
        <f t="shared" si="167"/>
        <v>8.39707571</v>
      </c>
      <c r="K216" s="195">
        <f t="shared" si="167"/>
        <v>12.7213304</v>
      </c>
      <c r="L216" s="257">
        <f>AVERAGE(I216:K216)</f>
        <v>10.69561045</v>
      </c>
      <c r="M216" s="257">
        <f t="shared" ref="M216:P216" si="168">L216</f>
        <v>10.69561045</v>
      </c>
      <c r="N216" s="257">
        <f t="shared" si="168"/>
        <v>10.69561045</v>
      </c>
      <c r="O216" s="257">
        <f t="shared" si="168"/>
        <v>10.69561045</v>
      </c>
      <c r="P216" s="303">
        <f t="shared" si="168"/>
        <v>10.69561045</v>
      </c>
    </row>
    <row r="217" ht="12.75" customHeight="1">
      <c r="B217" s="304" t="s">
        <v>263</v>
      </c>
      <c r="C217" s="154"/>
      <c r="D217" s="153" t="s">
        <v>32</v>
      </c>
      <c r="E217" s="154"/>
      <c r="F217" s="224">
        <f t="shared" ref="F217:K217" si="169">F195/F190</f>
        <v>0.08787780166</v>
      </c>
      <c r="G217" s="225">
        <f t="shared" si="169"/>
        <v>0.1671992216</v>
      </c>
      <c r="H217" s="225">
        <f t="shared" si="169"/>
        <v>0.05970883263</v>
      </c>
      <c r="I217" s="225">
        <f t="shared" si="169"/>
        <v>0.06873892266</v>
      </c>
      <c r="J217" s="225">
        <f t="shared" si="169"/>
        <v>0.08723725662</v>
      </c>
      <c r="K217" s="225">
        <f t="shared" si="169"/>
        <v>0.07019523779</v>
      </c>
      <c r="L217" s="226">
        <f t="shared" ref="L217:P217" si="170">K217</f>
        <v>0.07019523779</v>
      </c>
      <c r="M217" s="226">
        <f t="shared" si="170"/>
        <v>0.07019523779</v>
      </c>
      <c r="N217" s="226">
        <f t="shared" si="170"/>
        <v>0.07019523779</v>
      </c>
      <c r="O217" s="226">
        <f t="shared" si="170"/>
        <v>0.07019523779</v>
      </c>
      <c r="P217" s="305">
        <f t="shared" si="170"/>
        <v>0.07019523779</v>
      </c>
    </row>
    <row r="218" ht="12.75" customHeight="1">
      <c r="B218" s="306" t="s">
        <v>264</v>
      </c>
      <c r="C218" s="154"/>
      <c r="D218" s="153" t="s">
        <v>32</v>
      </c>
      <c r="E218" s="154"/>
      <c r="F218" s="224">
        <f t="shared" ref="F218:K218" si="171">F196/F190</f>
        <v>0.007283701239</v>
      </c>
      <c r="G218" s="225">
        <f t="shared" si="171"/>
        <v>0.0004164573486</v>
      </c>
      <c r="H218" s="225">
        <f t="shared" si="171"/>
        <v>0</v>
      </c>
      <c r="I218" s="225">
        <f t="shared" si="171"/>
        <v>0</v>
      </c>
      <c r="J218" s="225">
        <f t="shared" si="171"/>
        <v>0.0007417171148</v>
      </c>
      <c r="K218" s="225">
        <f t="shared" si="171"/>
        <v>0.0009869643662</v>
      </c>
      <c r="L218" s="226">
        <f>+AVERAGE(J218:K218)</f>
        <v>0.0008643407405</v>
      </c>
      <c r="M218" s="226">
        <f t="shared" ref="M218:P218" si="172">+L218</f>
        <v>0.0008643407405</v>
      </c>
      <c r="N218" s="226">
        <f t="shared" si="172"/>
        <v>0.0008643407405</v>
      </c>
      <c r="O218" s="226">
        <f t="shared" si="172"/>
        <v>0.0008643407405</v>
      </c>
      <c r="P218" s="305">
        <f t="shared" si="172"/>
        <v>0.0008643407405</v>
      </c>
    </row>
    <row r="219" ht="12.75" customHeight="1">
      <c r="B219" s="307" t="s">
        <v>265</v>
      </c>
      <c r="C219" s="154"/>
      <c r="D219" s="153" t="s">
        <v>262</v>
      </c>
      <c r="E219" s="154"/>
      <c r="F219" s="243">
        <f t="shared" ref="F219:K219" si="173">+F197/F190*365</f>
        <v>18.01934027</v>
      </c>
      <c r="G219" s="195">
        <f t="shared" si="173"/>
        <v>41.55378743</v>
      </c>
      <c r="H219" s="195">
        <f t="shared" si="173"/>
        <v>23.29398687</v>
      </c>
      <c r="I219" s="195">
        <f t="shared" si="173"/>
        <v>21.90653823</v>
      </c>
      <c r="J219" s="195">
        <f t="shared" si="173"/>
        <v>19.96558093</v>
      </c>
      <c r="K219" s="195">
        <f t="shared" si="173"/>
        <v>14.46668006</v>
      </c>
      <c r="L219" s="257">
        <f>+AVERAGE(I219:K219)</f>
        <v>18.77959974</v>
      </c>
      <c r="M219" s="257">
        <f t="shared" ref="M219:P219" si="174">L219</f>
        <v>18.77959974</v>
      </c>
      <c r="N219" s="257">
        <f t="shared" si="174"/>
        <v>18.77959974</v>
      </c>
      <c r="O219" s="257">
        <f t="shared" si="174"/>
        <v>18.77959974</v>
      </c>
      <c r="P219" s="303">
        <f t="shared" si="174"/>
        <v>18.77959974</v>
      </c>
    </row>
    <row r="220" ht="12.75" customHeight="1">
      <c r="B220" s="306" t="s">
        <v>266</v>
      </c>
      <c r="C220" s="154"/>
      <c r="D220" s="153" t="s">
        <v>32</v>
      </c>
      <c r="E220" s="154"/>
      <c r="F220" s="224">
        <f t="shared" ref="F220:K220" si="175">+F198/F190</f>
        <v>0.4061255174</v>
      </c>
      <c r="G220" s="225">
        <f t="shared" si="175"/>
        <v>0</v>
      </c>
      <c r="H220" s="225">
        <f t="shared" si="175"/>
        <v>0</v>
      </c>
      <c r="I220" s="225">
        <f t="shared" si="175"/>
        <v>0</v>
      </c>
      <c r="J220" s="225">
        <f t="shared" si="175"/>
        <v>0</v>
      </c>
      <c r="K220" s="225">
        <f t="shared" si="175"/>
        <v>0</v>
      </c>
      <c r="L220" s="226">
        <f t="shared" ref="L220:P220" si="176">K220</f>
        <v>0</v>
      </c>
      <c r="M220" s="226">
        <f t="shared" si="176"/>
        <v>0</v>
      </c>
      <c r="N220" s="226">
        <f t="shared" si="176"/>
        <v>0</v>
      </c>
      <c r="O220" s="226">
        <f t="shared" si="176"/>
        <v>0</v>
      </c>
      <c r="P220" s="305">
        <f t="shared" si="176"/>
        <v>0</v>
      </c>
    </row>
    <row r="221" ht="12.75" customHeight="1">
      <c r="B221" s="302"/>
      <c r="C221" s="154"/>
      <c r="D221" s="153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308"/>
    </row>
    <row r="222" ht="12.75" customHeight="1">
      <c r="B222" s="309" t="s">
        <v>80</v>
      </c>
      <c r="C222" s="154"/>
      <c r="D222" s="153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308"/>
    </row>
    <row r="223" ht="12.75" customHeight="1">
      <c r="B223" s="304" t="s">
        <v>267</v>
      </c>
      <c r="C223" s="154"/>
      <c r="D223" s="153" t="s">
        <v>32</v>
      </c>
      <c r="E223" s="154"/>
      <c r="F223" s="225">
        <f t="shared" ref="F223:K223" si="177">F202/F190</f>
        <v>0.01136128288</v>
      </c>
      <c r="G223" s="225">
        <f t="shared" si="177"/>
        <v>0.01880594395</v>
      </c>
      <c r="H223" s="225">
        <f t="shared" si="177"/>
        <v>0.001246000902</v>
      </c>
      <c r="I223" s="225">
        <f t="shared" si="177"/>
        <v>0.0002081436738</v>
      </c>
      <c r="J223" s="225">
        <f t="shared" si="177"/>
        <v>0.001184482599</v>
      </c>
      <c r="K223" s="225">
        <f t="shared" si="177"/>
        <v>0</v>
      </c>
      <c r="L223" s="226">
        <f t="shared" ref="L223:L227" si="180">AVERAGE(I223:K223)</f>
        <v>0.0004642087574</v>
      </c>
      <c r="M223" s="226">
        <f t="shared" ref="M223:P223" si="178">L223</f>
        <v>0.0004642087574</v>
      </c>
      <c r="N223" s="226">
        <f t="shared" si="178"/>
        <v>0.0004642087574</v>
      </c>
      <c r="O223" s="226">
        <f t="shared" si="178"/>
        <v>0.0004642087574</v>
      </c>
      <c r="P223" s="305">
        <f t="shared" si="178"/>
        <v>0.0004642087574</v>
      </c>
    </row>
    <row r="224" ht="12.75" customHeight="1">
      <c r="B224" s="307" t="s">
        <v>268</v>
      </c>
      <c r="C224" s="154"/>
      <c r="D224" s="153" t="s">
        <v>262</v>
      </c>
      <c r="E224" s="154"/>
      <c r="F224" s="195">
        <f t="shared" ref="F224:K224" si="179">F203/F191*365</f>
        <v>146.0716524</v>
      </c>
      <c r="G224" s="195">
        <f t="shared" si="179"/>
        <v>217.4626027</v>
      </c>
      <c r="H224" s="195">
        <f t="shared" si="179"/>
        <v>177.1461217</v>
      </c>
      <c r="I224" s="195">
        <f t="shared" si="179"/>
        <v>166.5460161</v>
      </c>
      <c r="J224" s="195">
        <f t="shared" si="179"/>
        <v>166.3557085</v>
      </c>
      <c r="K224" s="195">
        <f t="shared" si="179"/>
        <v>132.4876064</v>
      </c>
      <c r="L224" s="257">
        <f t="shared" si="180"/>
        <v>155.129777</v>
      </c>
      <c r="M224" s="257">
        <f t="shared" ref="M224:P224" si="181">L224</f>
        <v>155.129777</v>
      </c>
      <c r="N224" s="257">
        <f t="shared" si="181"/>
        <v>155.129777</v>
      </c>
      <c r="O224" s="257">
        <f t="shared" si="181"/>
        <v>155.129777</v>
      </c>
      <c r="P224" s="303">
        <f t="shared" si="181"/>
        <v>155.129777</v>
      </c>
    </row>
    <row r="225" ht="12.75" customHeight="1">
      <c r="B225" s="306" t="s">
        <v>269</v>
      </c>
      <c r="C225" s="154"/>
      <c r="D225" s="153" t="s">
        <v>32</v>
      </c>
      <c r="E225" s="154"/>
      <c r="F225" s="225">
        <f t="shared" ref="F225:K225" si="182">F204/F190</f>
        <v>0.07182434123</v>
      </c>
      <c r="G225" s="225">
        <f t="shared" si="182"/>
        <v>0.02821265097</v>
      </c>
      <c r="H225" s="225">
        <f t="shared" si="182"/>
        <v>0.002390657554</v>
      </c>
      <c r="I225" s="225">
        <f t="shared" si="182"/>
        <v>0</v>
      </c>
      <c r="J225" s="225">
        <f t="shared" si="182"/>
        <v>0</v>
      </c>
      <c r="K225" s="225">
        <f t="shared" si="182"/>
        <v>0</v>
      </c>
      <c r="L225" s="226">
        <f t="shared" si="180"/>
        <v>0</v>
      </c>
      <c r="M225" s="226">
        <f t="shared" ref="M225:P225" si="183">L225</f>
        <v>0</v>
      </c>
      <c r="N225" s="226">
        <f t="shared" si="183"/>
        <v>0</v>
      </c>
      <c r="O225" s="226">
        <f t="shared" si="183"/>
        <v>0</v>
      </c>
      <c r="P225" s="305">
        <f t="shared" si="183"/>
        <v>0</v>
      </c>
    </row>
    <row r="226" ht="12.75" customHeight="1">
      <c r="B226" s="304" t="s">
        <v>270</v>
      </c>
      <c r="C226" s="154"/>
      <c r="D226" s="153" t="s">
        <v>32</v>
      </c>
      <c r="E226" s="154"/>
      <c r="F226" s="225">
        <f t="shared" ref="F226:K226" si="184">F205/F190</f>
        <v>0.07461490254</v>
      </c>
      <c r="G226" s="225">
        <f t="shared" si="184"/>
        <v>0.123037935</v>
      </c>
      <c r="H226" s="225">
        <f t="shared" si="184"/>
        <v>0.07540865736</v>
      </c>
      <c r="I226" s="225">
        <f t="shared" si="184"/>
        <v>0.07870458946</v>
      </c>
      <c r="J226" s="225">
        <f t="shared" si="184"/>
        <v>0.0685040868</v>
      </c>
      <c r="K226" s="225">
        <f t="shared" si="184"/>
        <v>0.09358566861</v>
      </c>
      <c r="L226" s="226">
        <f t="shared" si="180"/>
        <v>0.08026478163</v>
      </c>
      <c r="M226" s="226">
        <f t="shared" ref="M226:P226" si="185">L226</f>
        <v>0.08026478163</v>
      </c>
      <c r="N226" s="226">
        <f t="shared" si="185"/>
        <v>0.08026478163</v>
      </c>
      <c r="O226" s="226">
        <f t="shared" si="185"/>
        <v>0.08026478163</v>
      </c>
      <c r="P226" s="305">
        <f t="shared" si="185"/>
        <v>0.08026478163</v>
      </c>
    </row>
    <row r="227" ht="12.75" customHeight="1">
      <c r="B227" s="310" t="s">
        <v>271</v>
      </c>
      <c r="C227" s="259"/>
      <c r="D227" s="260" t="s">
        <v>32</v>
      </c>
      <c r="E227" s="259"/>
      <c r="F227" s="311">
        <f t="shared" ref="F227:K227" si="186">F206/F190</f>
        <v>0.230620056</v>
      </c>
      <c r="G227" s="311">
        <f t="shared" si="186"/>
        <v>0</v>
      </c>
      <c r="H227" s="311">
        <f t="shared" si="186"/>
        <v>0</v>
      </c>
      <c r="I227" s="311">
        <f t="shared" si="186"/>
        <v>0</v>
      </c>
      <c r="J227" s="311">
        <f t="shared" si="186"/>
        <v>0</v>
      </c>
      <c r="K227" s="311">
        <f t="shared" si="186"/>
        <v>0</v>
      </c>
      <c r="L227" s="312">
        <f t="shared" si="180"/>
        <v>0</v>
      </c>
      <c r="M227" s="312">
        <f t="shared" ref="M227:P227" si="187">L227</f>
        <v>0</v>
      </c>
      <c r="N227" s="312">
        <f t="shared" si="187"/>
        <v>0</v>
      </c>
      <c r="O227" s="312">
        <f t="shared" si="187"/>
        <v>0</v>
      </c>
      <c r="P227" s="313">
        <f t="shared" si="187"/>
        <v>0</v>
      </c>
    </row>
    <row r="228" ht="12.75" customHeight="1">
      <c r="D228" s="153"/>
    </row>
    <row r="229" ht="12.75" customHeight="1">
      <c r="A229" s="154" t="s">
        <v>33</v>
      </c>
      <c r="B229" s="208" t="s">
        <v>272</v>
      </c>
      <c r="C229" s="208"/>
      <c r="D229" s="209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</row>
    <row r="230" ht="12.75" customHeight="1">
      <c r="D230" s="153"/>
    </row>
    <row r="231" ht="12.75" customHeight="1">
      <c r="B231" s="78" t="s">
        <v>273</v>
      </c>
      <c r="D231" s="153" t="s">
        <v>36</v>
      </c>
      <c r="F231" s="222">
        <f>Capex!J11</f>
        <v>657.177</v>
      </c>
      <c r="G231" s="222">
        <f>Capex!K11</f>
        <v>761.655</v>
      </c>
      <c r="H231" s="222">
        <f>Capex!L11</f>
        <v>745.133</v>
      </c>
      <c r="I231" s="222">
        <f>Capex!M11</f>
        <v>856.833</v>
      </c>
      <c r="J231" s="222">
        <f>Capex!N11</f>
        <v>780.354</v>
      </c>
      <c r="K231" s="222">
        <f>Capex!O11</f>
        <v>683.121</v>
      </c>
      <c r="L231" s="257">
        <f>Capex!P11</f>
        <v>773.065652</v>
      </c>
      <c r="M231" s="257">
        <f>Capex!Q11</f>
        <v>875.5284188</v>
      </c>
      <c r="N231" s="257">
        <f>Capex!R11</f>
        <v>988.5779295</v>
      </c>
      <c r="O231" s="257">
        <f>Capex!S11</f>
        <v>1100.690228</v>
      </c>
      <c r="P231" s="257">
        <f>Capex!T11</f>
        <v>1215.621393</v>
      </c>
    </row>
    <row r="232" ht="12.75" customHeight="1">
      <c r="B232" s="78" t="s">
        <v>274</v>
      </c>
      <c r="D232" s="153" t="s">
        <v>36</v>
      </c>
      <c r="F232" s="222">
        <f>Capex!J16</f>
        <v>0</v>
      </c>
      <c r="G232" s="222">
        <f>Capex!K16</f>
        <v>4.285</v>
      </c>
      <c r="H232" s="222">
        <f>Capex!L16</f>
        <v>4.385</v>
      </c>
      <c r="I232" s="222">
        <f>Capex!M16</f>
        <v>11.385</v>
      </c>
      <c r="J232" s="222">
        <f>Capex!N16</f>
        <v>17.925</v>
      </c>
      <c r="K232" s="222">
        <f>Capex!O16</f>
        <v>15.662</v>
      </c>
      <c r="L232" s="257">
        <f>Capex!P16</f>
        <v>16.97154243</v>
      </c>
      <c r="M232" s="257">
        <f>Capex!Q16</f>
        <v>16.58665223</v>
      </c>
      <c r="N232" s="257">
        <f>Capex!R16</f>
        <v>21.03432709</v>
      </c>
      <c r="O232" s="257">
        <f>Capex!S16</f>
        <v>21.90532222</v>
      </c>
      <c r="P232" s="257">
        <f>Capex!T16</f>
        <v>19.19270832</v>
      </c>
    </row>
    <row r="233" ht="12.75" customHeight="1">
      <c r="B233" s="78" t="s">
        <v>275</v>
      </c>
      <c r="D233" s="153" t="s">
        <v>36</v>
      </c>
      <c r="F233" s="222">
        <f>Capex!J21</f>
        <v>780.122</v>
      </c>
      <c r="G233" s="222">
        <f>Capex!K21</f>
        <v>790.553</v>
      </c>
      <c r="H233" s="222">
        <f>Capex!L21</f>
        <v>801.983</v>
      </c>
      <c r="I233" s="222">
        <f>Capex!M21</f>
        <v>699.938</v>
      </c>
      <c r="J233" s="222">
        <f>Capex!N21</f>
        <v>650.65</v>
      </c>
      <c r="K233" s="222">
        <f>Capex!O21</f>
        <v>656.228</v>
      </c>
      <c r="L233" s="257">
        <f>Capex!P21</f>
        <v>666.1265837</v>
      </c>
      <c r="M233" s="257">
        <f>Capex!Q21</f>
        <v>685.8241393</v>
      </c>
      <c r="N233" s="257">
        <f>Capex!R21</f>
        <v>712.2622692</v>
      </c>
      <c r="O233" s="257">
        <f>Capex!S21</f>
        <v>733.8700318</v>
      </c>
      <c r="P233" s="257">
        <f>Capex!T21</f>
        <v>754.2908451</v>
      </c>
    </row>
    <row r="234" ht="12.75" customHeight="1">
      <c r="D234" s="153"/>
    </row>
    <row r="235" ht="12.75" customHeight="1">
      <c r="A235" s="154" t="s">
        <v>33</v>
      </c>
      <c r="B235" s="208" t="s">
        <v>276</v>
      </c>
      <c r="C235" s="208"/>
      <c r="D235" s="209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</row>
    <row r="236" ht="12.75" customHeight="1">
      <c r="D236" s="153"/>
    </row>
    <row r="237" ht="12.75" customHeight="1">
      <c r="B237" s="78" t="s">
        <v>277</v>
      </c>
      <c r="D237" s="153"/>
    </row>
    <row r="238" ht="12.75" customHeight="1">
      <c r="B238" s="314" t="s">
        <v>278</v>
      </c>
      <c r="C238" s="315">
        <v>1613114.0</v>
      </c>
      <c r="D238" s="153"/>
    </row>
    <row r="239" ht="12.75" customHeight="1">
      <c r="B239" s="316" t="s">
        <v>279</v>
      </c>
      <c r="C239" s="317">
        <v>0.0529</v>
      </c>
      <c r="D239" s="153"/>
    </row>
    <row r="240" ht="12.75" customHeight="1">
      <c r="B240" s="314" t="s">
        <v>280</v>
      </c>
      <c r="C240" s="314">
        <v>6.0</v>
      </c>
      <c r="D240" s="153"/>
    </row>
    <row r="241" ht="12.75" customHeight="1">
      <c r="B241" s="314" t="s">
        <v>281</v>
      </c>
      <c r="C241" s="318">
        <f>PMT(C239,C240,C238)</f>
        <v>-320765.1552</v>
      </c>
      <c r="D241" s="153"/>
    </row>
    <row r="242" ht="12.75" customHeight="1">
      <c r="D242" s="153"/>
      <c r="L242" s="319">
        <v>1.0</v>
      </c>
      <c r="M242" s="319">
        <v>2.0</v>
      </c>
      <c r="N242" s="319">
        <v>3.0</v>
      </c>
      <c r="O242" s="319">
        <v>4.0</v>
      </c>
      <c r="P242" s="319">
        <v>5.0</v>
      </c>
    </row>
    <row r="243" ht="12.75" customHeight="1">
      <c r="B243" s="320" t="s">
        <v>282</v>
      </c>
      <c r="C243" s="320"/>
      <c r="D243" s="260"/>
      <c r="E243" s="320"/>
      <c r="F243" s="320"/>
      <c r="G243" s="320"/>
      <c r="H243" s="320"/>
      <c r="I243" s="320"/>
      <c r="J243" s="320"/>
      <c r="K243" s="320"/>
      <c r="L243" s="321">
        <f>+K247</f>
        <v>749.761</v>
      </c>
      <c r="M243" s="321">
        <f t="shared" ref="M243:P243" si="188">L247</f>
        <v>640.3345737</v>
      </c>
      <c r="N243" s="321">
        <f t="shared" si="188"/>
        <v>525.1194893</v>
      </c>
      <c r="O243" s="321">
        <f t="shared" si="188"/>
        <v>403.8095271</v>
      </c>
      <c r="P243" s="321">
        <f t="shared" si="188"/>
        <v>276.0822678</v>
      </c>
    </row>
    <row r="244" ht="12.75" customHeight="1">
      <c r="B244" s="78" t="s">
        <v>283</v>
      </c>
      <c r="D244" s="153"/>
      <c r="L244" s="249">
        <f t="shared" ref="L244:P244" si="189">-$C$239*AVERAGE(L243,L247)</f>
        <v>-36.76802792</v>
      </c>
      <c r="M244" s="249">
        <f t="shared" si="189"/>
        <v>-30.82625997</v>
      </c>
      <c r="N244" s="249">
        <f t="shared" si="189"/>
        <v>-24.57017248</v>
      </c>
      <c r="O244" s="249">
        <f t="shared" si="189"/>
        <v>-17.98313798</v>
      </c>
      <c r="P244" s="249">
        <f t="shared" si="189"/>
        <v>-11.04764934</v>
      </c>
    </row>
    <row r="245" ht="12.75" customHeight="1">
      <c r="B245" s="78" t="s">
        <v>209</v>
      </c>
      <c r="D245" s="153"/>
      <c r="L245" s="249">
        <f t="shared" ref="L245:P245" si="190">-PPMT($C$239,L242,$C$240,$K$247)</f>
        <v>109.4264263</v>
      </c>
      <c r="M245" s="249">
        <f t="shared" si="190"/>
        <v>115.2150843</v>
      </c>
      <c r="N245" s="249">
        <f t="shared" si="190"/>
        <v>121.3099623</v>
      </c>
      <c r="O245" s="249">
        <f t="shared" si="190"/>
        <v>127.7272593</v>
      </c>
      <c r="P245" s="249">
        <f t="shared" si="190"/>
        <v>134.4840313</v>
      </c>
    </row>
    <row r="246" ht="12.75" customHeight="1">
      <c r="B246" s="320" t="s">
        <v>284</v>
      </c>
      <c r="C246" s="320"/>
      <c r="D246" s="260"/>
      <c r="E246" s="320"/>
      <c r="F246" s="320"/>
      <c r="G246" s="320"/>
      <c r="H246" s="320"/>
      <c r="I246" s="320"/>
      <c r="J246" s="320"/>
      <c r="K246" s="320"/>
      <c r="L246" s="321">
        <f t="shared" ref="L246:P246" si="191">L244+L245</f>
        <v>72.65839843</v>
      </c>
      <c r="M246" s="321">
        <f t="shared" si="191"/>
        <v>84.38882434</v>
      </c>
      <c r="N246" s="321">
        <f t="shared" si="191"/>
        <v>96.73978978</v>
      </c>
      <c r="O246" s="321">
        <f t="shared" si="191"/>
        <v>109.7441213</v>
      </c>
      <c r="P246" s="321">
        <f t="shared" si="191"/>
        <v>123.4363819</v>
      </c>
    </row>
    <row r="247" ht="12.75" customHeight="1">
      <c r="B247" s="78" t="s">
        <v>285</v>
      </c>
      <c r="I247" s="195">
        <f>Buildup!H57+Buildup!H67</f>
        <v>811.468</v>
      </c>
      <c r="J247" s="195">
        <f>Buildup!I57+Buildup!I67</f>
        <v>803.869</v>
      </c>
      <c r="K247" s="195">
        <f>Buildup!J57+Buildup!J67</f>
        <v>749.761</v>
      </c>
      <c r="L247" s="249">
        <f t="shared" ref="L247:P247" si="192">L243-L245</f>
        <v>640.3345737</v>
      </c>
      <c r="M247" s="249">
        <f t="shared" si="192"/>
        <v>525.1194893</v>
      </c>
      <c r="N247" s="249">
        <f t="shared" si="192"/>
        <v>403.8095271</v>
      </c>
      <c r="O247" s="249">
        <f t="shared" si="192"/>
        <v>276.0822678</v>
      </c>
      <c r="P247" s="249">
        <f t="shared" si="192"/>
        <v>141.5982365</v>
      </c>
    </row>
    <row r="248" ht="12.75" customHeight="1">
      <c r="B248" s="78"/>
      <c r="I248" s="195"/>
      <c r="J248" s="195"/>
      <c r="K248" s="195"/>
      <c r="L248" s="322"/>
      <c r="M248" s="322"/>
      <c r="N248" s="322"/>
      <c r="O248" s="322"/>
      <c r="P248" s="322"/>
    </row>
    <row r="249" ht="12.75" customHeight="1">
      <c r="B249" s="78" t="s">
        <v>286</v>
      </c>
      <c r="L249" s="249">
        <f t="shared" ref="L249:P249" si="193">IPMT($C$239,L242,$C$240,K247)</f>
        <v>-39.6623569</v>
      </c>
      <c r="M249" s="249">
        <f t="shared" si="193"/>
        <v>-28.92988642</v>
      </c>
      <c r="N249" s="249">
        <f t="shared" si="193"/>
        <v>-19.4558003</v>
      </c>
      <c r="O249" s="249">
        <f t="shared" si="193"/>
        <v>-11.50498212</v>
      </c>
      <c r="P249" s="249">
        <f t="shared" si="193"/>
        <v>-5.377864472</v>
      </c>
    </row>
    <row r="250" ht="12.75" customHeight="1">
      <c r="B250" s="78"/>
      <c r="L250" s="323"/>
      <c r="M250" s="323"/>
      <c r="N250" s="323"/>
      <c r="O250" s="323"/>
      <c r="P250" s="323"/>
    </row>
    <row r="251" ht="12.75" customHeight="1">
      <c r="B251" s="78" t="s">
        <v>287</v>
      </c>
      <c r="L251" s="249">
        <f t="shared" ref="L251:P251" si="194">M245</f>
        <v>115.2150843</v>
      </c>
      <c r="M251" s="249">
        <f t="shared" si="194"/>
        <v>121.3099623</v>
      </c>
      <c r="N251" s="249">
        <f t="shared" si="194"/>
        <v>127.7272593</v>
      </c>
      <c r="O251" s="249">
        <f t="shared" si="194"/>
        <v>134.4840313</v>
      </c>
      <c r="P251" s="249" t="str">
        <f t="shared" si="194"/>
        <v/>
      </c>
    </row>
    <row r="252" ht="12.75" customHeight="1">
      <c r="B252" s="319" t="s">
        <v>288</v>
      </c>
      <c r="L252" s="257">
        <f t="shared" ref="L252:P252" si="195">L247-L251</f>
        <v>525.1194893</v>
      </c>
      <c r="M252" s="257">
        <f t="shared" si="195"/>
        <v>403.8095271</v>
      </c>
      <c r="N252" s="257">
        <f t="shared" si="195"/>
        <v>276.0822678</v>
      </c>
      <c r="O252" s="257">
        <f t="shared" si="195"/>
        <v>141.5982365</v>
      </c>
      <c r="P252" s="257">
        <f t="shared" si="195"/>
        <v>141.5982365</v>
      </c>
    </row>
    <row r="253" ht="12.75" customHeight="1"/>
    <row r="254" ht="12.75" customHeight="1">
      <c r="B254" s="319" t="s">
        <v>289</v>
      </c>
      <c r="F254" s="224">
        <f>(Buildup!E57+Buildup!E67)/Buildup!E83</f>
        <v>1.403114263</v>
      </c>
      <c r="G254" s="224">
        <f>(Buildup!F57+Buildup!F67)/Buildup!F83</f>
        <v>2.220550176</v>
      </c>
      <c r="H254" s="224">
        <f>(Buildup!G57+Buildup!G67)/Buildup!G83</f>
        <v>2.05062989</v>
      </c>
      <c r="I254" s="224">
        <f>(Buildup!H57+Buildup!H67)/Buildup!H83</f>
        <v>2.161879617</v>
      </c>
      <c r="J254" s="224">
        <f>(Buildup!I57+Buildup!I67)/Buildup!I83</f>
        <v>2.204809132</v>
      </c>
      <c r="K254" s="224">
        <f>(Buildup!J57+Buildup!J67)/Buildup!J83</f>
        <v>1.667254469</v>
      </c>
      <c r="L254" s="279">
        <f t="shared" ref="L254:P254" si="196">K254</f>
        <v>1.667254469</v>
      </c>
      <c r="M254" s="279">
        <f t="shared" si="196"/>
        <v>1.667254469</v>
      </c>
      <c r="N254" s="279">
        <f t="shared" si="196"/>
        <v>1.667254469</v>
      </c>
      <c r="O254" s="279">
        <f t="shared" si="196"/>
        <v>1.667254469</v>
      </c>
      <c r="P254" s="279">
        <f t="shared" si="196"/>
        <v>1.667254469</v>
      </c>
    </row>
    <row r="255" ht="12.75" customHeight="1"/>
    <row r="256" ht="12.75" customHeight="1">
      <c r="A256" s="154" t="s">
        <v>33</v>
      </c>
      <c r="B256" s="324" t="s">
        <v>290</v>
      </c>
      <c r="C256" s="324"/>
      <c r="D256" s="325"/>
      <c r="E256" s="324"/>
      <c r="F256" s="324"/>
      <c r="G256" s="324"/>
      <c r="H256" s="324"/>
      <c r="I256" s="324"/>
      <c r="J256" s="324"/>
      <c r="K256" s="324"/>
      <c r="L256" s="324"/>
      <c r="M256" s="324"/>
      <c r="N256" s="324"/>
      <c r="O256" s="324"/>
      <c r="P256" s="324"/>
    </row>
    <row r="257" ht="12.75" customHeight="1">
      <c r="D257" s="153"/>
    </row>
    <row r="258" ht="12.75" customHeight="1">
      <c r="B258" s="78" t="s">
        <v>291</v>
      </c>
      <c r="D258" s="153"/>
      <c r="F258" s="195">
        <f>Buildup!E89</f>
        <v>-70.328</v>
      </c>
      <c r="G258" s="195">
        <f>Buildup!F89</f>
        <v>-150.442</v>
      </c>
      <c r="H258" s="195">
        <f>Buildup!G89</f>
        <v>39.874</v>
      </c>
      <c r="I258" s="195">
        <f>Buildup!H89</f>
        <v>-81.682</v>
      </c>
      <c r="J258" s="195">
        <f>Buildup!I89</f>
        <v>-9.983</v>
      </c>
      <c r="K258" s="195">
        <f>Buildup!J89</f>
        <v>137.133</v>
      </c>
      <c r="L258" s="195">
        <f>Buildup!K89</f>
        <v>289.8128609</v>
      </c>
      <c r="M258" s="195">
        <f>Buildup!L89</f>
        <v>329.8778498</v>
      </c>
      <c r="N258" s="195">
        <f>Buildup!M89</f>
        <v>380.458999</v>
      </c>
      <c r="O258" s="195">
        <f>Buildup!N89</f>
        <v>397.6941061</v>
      </c>
      <c r="P258" s="195">
        <f>Buildup!O89</f>
        <v>412.1435516</v>
      </c>
    </row>
    <row r="259" ht="12.75" customHeight="1">
      <c r="D259" s="153"/>
    </row>
    <row r="260" ht="12.75" customHeight="1">
      <c r="B260" s="259" t="s">
        <v>292</v>
      </c>
      <c r="C260" s="259"/>
      <c r="D260" s="260"/>
      <c r="E260" s="259"/>
      <c r="F260" s="259"/>
      <c r="G260" s="259"/>
      <c r="H260" s="259"/>
      <c r="I260" s="259"/>
      <c r="J260" s="259"/>
      <c r="K260" s="259"/>
      <c r="L260" s="277">
        <f t="shared" ref="L260:P260" si="197">K264</f>
        <v>-180.698</v>
      </c>
      <c r="M260" s="277">
        <f t="shared" si="197"/>
        <v>109.1148609</v>
      </c>
      <c r="N260" s="277">
        <f t="shared" si="197"/>
        <v>438.9927107</v>
      </c>
      <c r="O260" s="277">
        <f t="shared" si="197"/>
        <v>819.4517096</v>
      </c>
      <c r="P260" s="277">
        <f t="shared" si="197"/>
        <v>1217.145816</v>
      </c>
    </row>
    <row r="261" ht="12.75" customHeight="1">
      <c r="B261" s="326" t="s">
        <v>293</v>
      </c>
      <c r="D261" s="153"/>
      <c r="L261" s="195">
        <f t="shared" ref="L261:P261" si="198">L258</f>
        <v>289.8128609</v>
      </c>
      <c r="M261" s="195">
        <f t="shared" si="198"/>
        <v>329.8778498</v>
      </c>
      <c r="N261" s="195">
        <f t="shared" si="198"/>
        <v>380.458999</v>
      </c>
      <c r="O261" s="195">
        <f t="shared" si="198"/>
        <v>397.6941061</v>
      </c>
      <c r="P261" s="195">
        <f t="shared" si="198"/>
        <v>412.1435516</v>
      </c>
    </row>
    <row r="262" ht="12.75" customHeight="1">
      <c r="B262" s="326" t="s">
        <v>294</v>
      </c>
      <c r="D262" s="153"/>
      <c r="F262" s="78">
        <v>0.0</v>
      </c>
      <c r="G262" s="78">
        <v>0.0</v>
      </c>
      <c r="H262" s="78">
        <v>0.0</v>
      </c>
      <c r="I262" s="78">
        <v>0.0</v>
      </c>
      <c r="J262" s="78">
        <v>0.0</v>
      </c>
      <c r="K262" s="78">
        <v>0.0</v>
      </c>
      <c r="L262" s="78">
        <v>0.0</v>
      </c>
      <c r="M262" s="78">
        <v>0.0</v>
      </c>
      <c r="N262" s="78">
        <v>0.0</v>
      </c>
      <c r="O262" s="78">
        <v>0.0</v>
      </c>
      <c r="P262" s="78">
        <v>0.0</v>
      </c>
    </row>
    <row r="263" ht="12.75" customHeight="1">
      <c r="B263" s="327" t="s">
        <v>295</v>
      </c>
      <c r="C263" s="259"/>
      <c r="D263" s="260"/>
      <c r="E263" s="259"/>
      <c r="F263" s="259"/>
      <c r="G263" s="259"/>
      <c r="H263" s="259"/>
      <c r="I263" s="259"/>
      <c r="J263" s="259"/>
      <c r="K263" s="259"/>
      <c r="L263" s="259">
        <v>0.0</v>
      </c>
      <c r="M263" s="259">
        <v>0.0</v>
      </c>
      <c r="N263" s="259">
        <v>0.0</v>
      </c>
      <c r="O263" s="259">
        <v>0.0</v>
      </c>
      <c r="P263" s="259">
        <v>0.0</v>
      </c>
    </row>
    <row r="264" ht="12.75" customHeight="1">
      <c r="B264" s="326" t="s">
        <v>296</v>
      </c>
      <c r="D264" s="153"/>
      <c r="K264" s="195">
        <f>Buildup!J82</f>
        <v>-180.698</v>
      </c>
      <c r="L264" s="195">
        <f t="shared" ref="L264:P264" si="199">SUM(L260:L263)</f>
        <v>109.1148609</v>
      </c>
      <c r="M264" s="195">
        <f t="shared" si="199"/>
        <v>438.9927107</v>
      </c>
      <c r="N264" s="195">
        <f t="shared" si="199"/>
        <v>819.4517096</v>
      </c>
      <c r="O264" s="195">
        <f t="shared" si="199"/>
        <v>1217.145816</v>
      </c>
      <c r="P264" s="195">
        <f t="shared" si="199"/>
        <v>1629.289367</v>
      </c>
    </row>
    <row r="265" ht="12.75" customHeight="1">
      <c r="B265" s="326"/>
    </row>
    <row r="266" ht="12.75" customHeight="1">
      <c r="A266" s="154" t="s">
        <v>297</v>
      </c>
      <c r="B266" s="201" t="s">
        <v>81</v>
      </c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</row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F2:K2"/>
    <mergeCell ref="L2:P2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xSplit="8.0" topLeftCell="I1" activePane="topRight" state="frozen"/>
      <selection activeCell="J2" sqref="J2" pane="topRight"/>
    </sheetView>
  </sheetViews>
  <sheetFormatPr customHeight="1" defaultColWidth="12.63" defaultRowHeight="15.0"/>
  <cols>
    <col customWidth="1" min="1" max="2" width="3.25"/>
    <col customWidth="1" min="3" max="3" width="12.5"/>
    <col customWidth="1" min="4" max="4" width="18.13"/>
    <col customWidth="1" min="5" max="5" width="11.75"/>
    <col customWidth="1" min="6" max="6" width="8.63"/>
    <col customWidth="1" min="7" max="7" width="3.5"/>
    <col customWidth="1" min="8" max="8" width="13.5"/>
    <col customWidth="1" min="9" max="9" width="3.5"/>
    <col customWidth="1" min="10" max="13" width="12.5"/>
    <col customWidth="1" min="14" max="14" width="13.25"/>
    <col customWidth="1" min="15" max="15" width="12.5"/>
    <col customWidth="1" min="16" max="16" width="16.88"/>
    <col customWidth="1" min="17" max="18" width="16.63"/>
    <col customWidth="1" min="19" max="19" width="16.75"/>
    <col customWidth="1" min="20" max="20" width="16.63"/>
    <col customWidth="1" min="21" max="21" width="10.63"/>
  </cols>
  <sheetData>
    <row r="1" ht="12.75" customHeight="1"/>
    <row r="2" ht="12.75" customHeight="1">
      <c r="C2" s="78" t="s">
        <v>298</v>
      </c>
      <c r="H2" s="78" t="s">
        <v>171</v>
      </c>
      <c r="I2" s="78"/>
      <c r="J2" s="328">
        <v>2019.0</v>
      </c>
      <c r="K2" s="328">
        <v>2020.0</v>
      </c>
      <c r="L2" s="328">
        <v>2021.0</v>
      </c>
      <c r="M2" s="328">
        <v>2022.0</v>
      </c>
      <c r="N2" s="328">
        <v>2023.0</v>
      </c>
      <c r="O2" s="328">
        <v>2024.0</v>
      </c>
      <c r="P2" s="329">
        <v>2025.0</v>
      </c>
      <c r="Q2" s="329">
        <v>2026.0</v>
      </c>
      <c r="R2" s="329">
        <v>2027.0</v>
      </c>
      <c r="S2" s="329">
        <v>2028.0</v>
      </c>
      <c r="T2" s="329">
        <v>2029.0</v>
      </c>
    </row>
    <row r="3" ht="12.75" customHeight="1">
      <c r="C3" s="78" t="s">
        <v>299</v>
      </c>
      <c r="H3" s="78" t="s">
        <v>172</v>
      </c>
      <c r="I3" s="78"/>
      <c r="J3" s="330">
        <v>43830.0</v>
      </c>
      <c r="K3" s="330">
        <v>44196.0</v>
      </c>
      <c r="L3" s="330">
        <v>44561.0</v>
      </c>
      <c r="M3" s="330">
        <v>44926.0</v>
      </c>
      <c r="N3" s="330">
        <v>45291.0</v>
      </c>
      <c r="O3" s="331">
        <v>45657.0</v>
      </c>
      <c r="P3" s="332">
        <v>46022.0</v>
      </c>
      <c r="Q3" s="332">
        <v>46387.0</v>
      </c>
      <c r="R3" s="332">
        <v>46752.0</v>
      </c>
      <c r="S3" s="332">
        <v>47118.0</v>
      </c>
      <c r="T3" s="332">
        <v>47483.0</v>
      </c>
    </row>
    <row r="4" ht="12.75" customHeight="1">
      <c r="J4" s="153" t="s">
        <v>30</v>
      </c>
      <c r="K4" s="153" t="s">
        <v>30</v>
      </c>
      <c r="L4" s="153" t="s">
        <v>30</v>
      </c>
      <c r="M4" s="153" t="s">
        <v>30</v>
      </c>
      <c r="N4" s="153" t="s">
        <v>30</v>
      </c>
      <c r="O4" s="153" t="s">
        <v>30</v>
      </c>
      <c r="P4" s="153" t="s">
        <v>31</v>
      </c>
      <c r="Q4" s="153" t="s">
        <v>31</v>
      </c>
      <c r="R4" s="153" t="s">
        <v>31</v>
      </c>
      <c r="S4" s="153" t="s">
        <v>31</v>
      </c>
      <c r="T4" s="153" t="s">
        <v>31</v>
      </c>
    </row>
    <row r="5" ht="12.75" customHeight="1">
      <c r="A5" s="154" t="s">
        <v>33</v>
      </c>
      <c r="B5" s="275" t="s">
        <v>300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20"/>
      <c r="P5" s="220"/>
      <c r="Q5" s="220"/>
      <c r="R5" s="220"/>
      <c r="S5" s="220"/>
      <c r="T5" s="220"/>
    </row>
    <row r="6" ht="12.75" customHeight="1"/>
    <row r="7" ht="12.75" customHeight="1">
      <c r="C7" s="196" t="s">
        <v>301</v>
      </c>
      <c r="J7" s="195"/>
      <c r="K7" s="195"/>
      <c r="L7" s="195"/>
      <c r="M7" s="195"/>
      <c r="N7" s="195"/>
      <c r="O7" s="195"/>
    </row>
    <row r="8" ht="12.75" customHeight="1">
      <c r="C8" s="154" t="s">
        <v>302</v>
      </c>
      <c r="H8" s="153" t="s">
        <v>36</v>
      </c>
      <c r="I8" s="153"/>
      <c r="J8" s="195">
        <f t="shared" ref="J8:T8" si="1">J50</f>
        <v>1388.181</v>
      </c>
      <c r="K8" s="195">
        <f t="shared" si="1"/>
        <v>1859.667</v>
      </c>
      <c r="L8" s="195">
        <f t="shared" si="1"/>
        <v>1929.62</v>
      </c>
      <c r="M8" s="195">
        <f t="shared" si="1"/>
        <v>1816.027</v>
      </c>
      <c r="N8" s="195">
        <f t="shared" si="1"/>
        <v>1945.957</v>
      </c>
      <c r="O8" s="195">
        <f t="shared" si="1"/>
        <v>1935.681</v>
      </c>
      <c r="P8" s="257">
        <f t="shared" si="1"/>
        <v>2026.356413</v>
      </c>
      <c r="Q8" s="257">
        <f t="shared" si="1"/>
        <v>2131.125041</v>
      </c>
      <c r="R8" s="257">
        <f t="shared" si="1"/>
        <v>2247.417625</v>
      </c>
      <c r="S8" s="257">
        <f t="shared" si="1"/>
        <v>2363.710209</v>
      </c>
      <c r="T8" s="257">
        <f t="shared" si="1"/>
        <v>2483.788002</v>
      </c>
    </row>
    <row r="9" ht="12.75" customHeight="1">
      <c r="C9" s="154" t="s">
        <v>303</v>
      </c>
      <c r="D9" s="154"/>
      <c r="E9" s="154"/>
      <c r="F9" s="154"/>
      <c r="G9" s="154"/>
      <c r="H9" s="153" t="s">
        <v>36</v>
      </c>
      <c r="I9" s="153"/>
      <c r="J9" s="195">
        <f t="shared" ref="J9:T9" si="2">-J77</f>
        <v>-711.391</v>
      </c>
      <c r="K9" s="195">
        <f t="shared" si="2"/>
        <v>-1087.604</v>
      </c>
      <c r="L9" s="195">
        <f t="shared" si="2"/>
        <v>-1173.101</v>
      </c>
      <c r="M9" s="195">
        <f t="shared" si="2"/>
        <v>-1003.115</v>
      </c>
      <c r="N9" s="195">
        <f t="shared" si="2"/>
        <v>-1174.179</v>
      </c>
      <c r="O9" s="195">
        <f t="shared" si="2"/>
        <v>-1252.56</v>
      </c>
      <c r="P9" s="257">
        <f t="shared" si="2"/>
        <v>-1253.290761</v>
      </c>
      <c r="Q9" s="257">
        <f t="shared" si="2"/>
        <v>-1255.596622</v>
      </c>
      <c r="R9" s="257">
        <f t="shared" si="2"/>
        <v>-1258.839696</v>
      </c>
      <c r="S9" s="257">
        <f t="shared" si="2"/>
        <v>-1263.019981</v>
      </c>
      <c r="T9" s="257">
        <f t="shared" si="2"/>
        <v>-1268.166609</v>
      </c>
    </row>
    <row r="10" ht="12.75" customHeight="1">
      <c r="C10" s="259" t="s">
        <v>304</v>
      </c>
      <c r="D10" s="259"/>
      <c r="E10" s="259"/>
      <c r="F10" s="259"/>
      <c r="G10" s="259"/>
      <c r="H10" s="260" t="s">
        <v>36</v>
      </c>
      <c r="I10" s="260"/>
      <c r="J10" s="333">
        <f t="shared" ref="J10:T10" si="3">J101</f>
        <v>-19.613</v>
      </c>
      <c r="K10" s="333">
        <f t="shared" si="3"/>
        <v>-10.408</v>
      </c>
      <c r="L10" s="333">
        <f t="shared" si="3"/>
        <v>-11.386</v>
      </c>
      <c r="M10" s="333">
        <f t="shared" si="3"/>
        <v>43.921</v>
      </c>
      <c r="N10" s="333">
        <f t="shared" si="3"/>
        <v>8.576</v>
      </c>
      <c r="O10" s="333">
        <f t="shared" si="3"/>
        <v>0</v>
      </c>
      <c r="P10" s="334">
        <f t="shared" si="3"/>
        <v>0</v>
      </c>
      <c r="Q10" s="334">
        <f t="shared" si="3"/>
        <v>0</v>
      </c>
      <c r="R10" s="334">
        <f t="shared" si="3"/>
        <v>0</v>
      </c>
      <c r="S10" s="334">
        <f t="shared" si="3"/>
        <v>0</v>
      </c>
      <c r="T10" s="334">
        <f t="shared" si="3"/>
        <v>0</v>
      </c>
    </row>
    <row r="11" ht="12.75" customHeight="1">
      <c r="C11" s="196" t="s">
        <v>273</v>
      </c>
      <c r="H11" s="153" t="s">
        <v>36</v>
      </c>
      <c r="I11" s="153"/>
      <c r="J11" s="194">
        <f t="shared" ref="J11:O11" si="4">J8+J9+J10</f>
        <v>657.177</v>
      </c>
      <c r="K11" s="194">
        <f t="shared" si="4"/>
        <v>761.655</v>
      </c>
      <c r="L11" s="194">
        <f t="shared" si="4"/>
        <v>745.133</v>
      </c>
      <c r="M11" s="194">
        <f t="shared" si="4"/>
        <v>856.833</v>
      </c>
      <c r="N11" s="194">
        <f t="shared" si="4"/>
        <v>780.354</v>
      </c>
      <c r="O11" s="194">
        <f t="shared" si="4"/>
        <v>683.121</v>
      </c>
      <c r="P11" s="269">
        <f t="shared" ref="P11:T11" si="5">SUM(P8:P10)</f>
        <v>773.065652</v>
      </c>
      <c r="Q11" s="269">
        <f t="shared" si="5"/>
        <v>875.5284188</v>
      </c>
      <c r="R11" s="269">
        <f t="shared" si="5"/>
        <v>988.5779295</v>
      </c>
      <c r="S11" s="269">
        <f t="shared" si="5"/>
        <v>1100.690228</v>
      </c>
      <c r="T11" s="269">
        <f t="shared" si="5"/>
        <v>1215.621393</v>
      </c>
    </row>
    <row r="12" ht="12.75" customHeight="1">
      <c r="H12" s="153"/>
      <c r="I12" s="153"/>
    </row>
    <row r="13" ht="12.75" customHeight="1">
      <c r="C13" s="196" t="s">
        <v>305</v>
      </c>
      <c r="H13" s="153" t="s">
        <v>36</v>
      </c>
      <c r="I13" s="153"/>
    </row>
    <row r="14" ht="12.75" customHeight="1">
      <c r="C14" s="154" t="s">
        <v>306</v>
      </c>
      <c r="H14" s="153" t="s">
        <v>36</v>
      </c>
      <c r="I14" s="153"/>
      <c r="J14" s="195" t="str">
        <f t="shared" ref="J14:T14" si="6">J379</f>
        <v/>
      </c>
      <c r="K14" s="195">
        <f t="shared" si="6"/>
        <v>39.327</v>
      </c>
      <c r="L14" s="195">
        <f t="shared" si="6"/>
        <v>44.253</v>
      </c>
      <c r="M14" s="195">
        <f t="shared" si="6"/>
        <v>20.828</v>
      </c>
      <c r="N14" s="195">
        <f t="shared" si="6"/>
        <v>24.646</v>
      </c>
      <c r="O14" s="195">
        <f t="shared" si="6"/>
        <v>25.984</v>
      </c>
      <c r="P14" s="257">
        <f t="shared" si="6"/>
        <v>36.47702841</v>
      </c>
      <c r="Q14" s="257">
        <f t="shared" si="6"/>
        <v>48.60093451</v>
      </c>
      <c r="R14" s="257">
        <f t="shared" si="6"/>
        <v>62.05840162</v>
      </c>
      <c r="S14" s="257">
        <f t="shared" si="6"/>
        <v>75.51586874</v>
      </c>
      <c r="T14" s="257">
        <f t="shared" si="6"/>
        <v>89.41136311</v>
      </c>
    </row>
    <row r="15" ht="12.75" customHeight="1">
      <c r="C15" s="259" t="s">
        <v>303</v>
      </c>
      <c r="D15" s="259"/>
      <c r="E15" s="259"/>
      <c r="F15" s="259"/>
      <c r="G15" s="259"/>
      <c r="H15" s="260" t="s">
        <v>36</v>
      </c>
      <c r="I15" s="260"/>
      <c r="J15" s="277" t="str">
        <f t="shared" ref="J15:T15" si="7">J383</f>
        <v/>
      </c>
      <c r="K15" s="277">
        <f t="shared" si="7"/>
        <v>-35.042</v>
      </c>
      <c r="L15" s="277">
        <f t="shared" si="7"/>
        <v>-39.868</v>
      </c>
      <c r="M15" s="277">
        <f t="shared" si="7"/>
        <v>-9.443</v>
      </c>
      <c r="N15" s="277">
        <f t="shared" si="7"/>
        <v>-6.721</v>
      </c>
      <c r="O15" s="277">
        <f t="shared" si="7"/>
        <v>-10.322</v>
      </c>
      <c r="P15" s="262">
        <f t="shared" si="7"/>
        <v>-19.50548599</v>
      </c>
      <c r="Q15" s="262">
        <f t="shared" si="7"/>
        <v>-32.01428227</v>
      </c>
      <c r="R15" s="262">
        <f t="shared" si="7"/>
        <v>-41.02407453</v>
      </c>
      <c r="S15" s="262">
        <f t="shared" si="7"/>
        <v>-53.61054652</v>
      </c>
      <c r="T15" s="262">
        <f t="shared" si="7"/>
        <v>-70.21865479</v>
      </c>
    </row>
    <row r="16" ht="12.75" customHeight="1">
      <c r="C16" s="196" t="s">
        <v>307</v>
      </c>
      <c r="D16" s="335"/>
      <c r="E16" s="335"/>
      <c r="F16" s="335"/>
      <c r="G16" s="335"/>
      <c r="H16" s="336" t="s">
        <v>36</v>
      </c>
      <c r="I16" s="336"/>
      <c r="J16" s="194">
        <f t="shared" ref="J16:T16" si="8">SUM(J14:J15)</f>
        <v>0</v>
      </c>
      <c r="K16" s="194">
        <f t="shared" si="8"/>
        <v>4.285</v>
      </c>
      <c r="L16" s="194">
        <f t="shared" si="8"/>
        <v>4.385</v>
      </c>
      <c r="M16" s="194">
        <f t="shared" si="8"/>
        <v>11.385</v>
      </c>
      <c r="N16" s="194">
        <f t="shared" si="8"/>
        <v>17.925</v>
      </c>
      <c r="O16" s="194">
        <f t="shared" si="8"/>
        <v>15.662</v>
      </c>
      <c r="P16" s="269">
        <f t="shared" si="8"/>
        <v>16.97154243</v>
      </c>
      <c r="Q16" s="269">
        <f t="shared" si="8"/>
        <v>16.58665223</v>
      </c>
      <c r="R16" s="269">
        <f t="shared" si="8"/>
        <v>21.03432709</v>
      </c>
      <c r="S16" s="269">
        <f t="shared" si="8"/>
        <v>21.90532222</v>
      </c>
      <c r="T16" s="269">
        <f t="shared" si="8"/>
        <v>19.19270832</v>
      </c>
    </row>
    <row r="17" ht="12.75" customHeight="1">
      <c r="D17" s="335"/>
      <c r="E17" s="335"/>
      <c r="F17" s="335"/>
      <c r="G17" s="335"/>
      <c r="H17" s="336"/>
      <c r="I17" s="336"/>
      <c r="J17" s="195"/>
      <c r="N17" s="195"/>
    </row>
    <row r="18" ht="12.75" customHeight="1">
      <c r="C18" s="196" t="s">
        <v>308</v>
      </c>
      <c r="H18" s="153"/>
      <c r="I18" s="153"/>
    </row>
    <row r="19" ht="12.75" customHeight="1">
      <c r="C19" s="154" t="s">
        <v>309</v>
      </c>
      <c r="H19" s="153" t="s">
        <v>36</v>
      </c>
      <c r="I19" s="153"/>
      <c r="J19" s="195">
        <f t="shared" ref="J19:T19" si="9">J410</f>
        <v>1376.45</v>
      </c>
      <c r="K19" s="195">
        <f t="shared" si="9"/>
        <v>1572.165</v>
      </c>
      <c r="L19" s="195">
        <f t="shared" si="9"/>
        <v>1676.34</v>
      </c>
      <c r="M19" s="195">
        <f t="shared" si="9"/>
        <v>1672.381</v>
      </c>
      <c r="N19" s="195">
        <f t="shared" si="9"/>
        <v>1751.595</v>
      </c>
      <c r="O19" s="195">
        <f t="shared" si="9"/>
        <v>1831.858</v>
      </c>
      <c r="P19" s="257">
        <f t="shared" si="9"/>
        <v>1921.019956</v>
      </c>
      <c r="Q19" s="257">
        <f t="shared" si="9"/>
        <v>2024.039897</v>
      </c>
      <c r="R19" s="257">
        <f t="shared" si="9"/>
        <v>2138.39145</v>
      </c>
      <c r="S19" s="257">
        <f t="shared" si="9"/>
        <v>2252.743002</v>
      </c>
      <c r="T19" s="257">
        <f t="shared" si="9"/>
        <v>2370.816584</v>
      </c>
    </row>
    <row r="20" ht="12.75" customHeight="1">
      <c r="C20" s="259" t="s">
        <v>310</v>
      </c>
      <c r="D20" s="259"/>
      <c r="E20" s="259"/>
      <c r="F20" s="259"/>
      <c r="G20" s="259"/>
      <c r="H20" s="260" t="s">
        <v>36</v>
      </c>
      <c r="I20" s="260"/>
      <c r="J20" s="277">
        <f t="shared" ref="J20:T20" si="10">J414</f>
        <v>-596.328</v>
      </c>
      <c r="K20" s="277">
        <f t="shared" si="10"/>
        <v>-781.612</v>
      </c>
      <c r="L20" s="277">
        <f t="shared" si="10"/>
        <v>-874.357</v>
      </c>
      <c r="M20" s="277">
        <f t="shared" si="10"/>
        <v>-972.443</v>
      </c>
      <c r="N20" s="277">
        <f t="shared" si="10"/>
        <v>-1100.945</v>
      </c>
      <c r="O20" s="277">
        <f t="shared" si="10"/>
        <v>-1175.63</v>
      </c>
      <c r="P20" s="262">
        <f t="shared" si="10"/>
        <v>-1254.893372</v>
      </c>
      <c r="Q20" s="262">
        <f t="shared" si="10"/>
        <v>-1338.215758</v>
      </c>
      <c r="R20" s="262">
        <f t="shared" si="10"/>
        <v>-1426.12918</v>
      </c>
      <c r="S20" s="262">
        <f t="shared" si="10"/>
        <v>-1518.87297</v>
      </c>
      <c r="T20" s="262">
        <f t="shared" si="10"/>
        <v>-1616.525739</v>
      </c>
    </row>
    <row r="21" ht="12.75" customHeight="1">
      <c r="C21" s="196" t="s">
        <v>311</v>
      </c>
      <c r="H21" s="153" t="s">
        <v>36</v>
      </c>
      <c r="I21" s="153"/>
      <c r="J21" s="194">
        <f t="shared" ref="J21:T21" si="11">SUM(J19:J20)</f>
        <v>780.122</v>
      </c>
      <c r="K21" s="194">
        <f t="shared" si="11"/>
        <v>790.553</v>
      </c>
      <c r="L21" s="194">
        <f t="shared" si="11"/>
        <v>801.983</v>
      </c>
      <c r="M21" s="194">
        <f t="shared" si="11"/>
        <v>699.938</v>
      </c>
      <c r="N21" s="194">
        <f t="shared" si="11"/>
        <v>650.65</v>
      </c>
      <c r="O21" s="194">
        <f t="shared" si="11"/>
        <v>656.228</v>
      </c>
      <c r="P21" s="269">
        <f t="shared" si="11"/>
        <v>666.1265837</v>
      </c>
      <c r="Q21" s="269">
        <f t="shared" si="11"/>
        <v>685.8241393</v>
      </c>
      <c r="R21" s="269">
        <f t="shared" si="11"/>
        <v>712.2622692</v>
      </c>
      <c r="S21" s="269">
        <f t="shared" si="11"/>
        <v>733.8700318</v>
      </c>
      <c r="T21" s="269">
        <f t="shared" si="11"/>
        <v>754.2908451</v>
      </c>
    </row>
    <row r="22" ht="12.75" customHeight="1">
      <c r="C22" s="196"/>
      <c r="H22" s="153"/>
      <c r="I22" s="153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</row>
    <row r="23" ht="12.75" customHeight="1">
      <c r="C23" s="196" t="s">
        <v>312</v>
      </c>
      <c r="H23" s="153"/>
      <c r="I23" s="153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</row>
    <row r="24" ht="12.75" customHeight="1">
      <c r="C24" s="154" t="s">
        <v>313</v>
      </c>
      <c r="H24" s="153" t="s">
        <v>36</v>
      </c>
      <c r="I24" s="153"/>
      <c r="J24" s="195">
        <f t="shared" ref="J24:T24" si="12">J62</f>
        <v>77.858</v>
      </c>
      <c r="K24" s="195">
        <f t="shared" si="12"/>
        <v>61.572</v>
      </c>
      <c r="L24" s="195">
        <f t="shared" si="12"/>
        <v>102.994</v>
      </c>
      <c r="M24" s="195">
        <f t="shared" si="12"/>
        <v>129.494</v>
      </c>
      <c r="N24" s="195">
        <f t="shared" si="12"/>
        <v>68.772</v>
      </c>
      <c r="O24" s="195">
        <f t="shared" si="12"/>
        <v>70.752</v>
      </c>
      <c r="P24" s="249">
        <f t="shared" si="12"/>
        <v>90.67541299</v>
      </c>
      <c r="Q24" s="249">
        <f t="shared" si="12"/>
        <v>104.7686282</v>
      </c>
      <c r="R24" s="249">
        <f t="shared" si="12"/>
        <v>116.292584</v>
      </c>
      <c r="S24" s="249">
        <f t="shared" si="12"/>
        <v>116.292584</v>
      </c>
      <c r="T24" s="249">
        <f t="shared" si="12"/>
        <v>120.0777927</v>
      </c>
    </row>
    <row r="25" ht="12.75" customHeight="1">
      <c r="C25" s="154" t="s">
        <v>314</v>
      </c>
      <c r="H25" s="153" t="s">
        <v>36</v>
      </c>
      <c r="I25" s="153"/>
      <c r="J25" s="195" t="str">
        <f t="shared" ref="J25:T25" si="13">J377</f>
        <v/>
      </c>
      <c r="K25" s="195">
        <f t="shared" si="13"/>
        <v>1.642</v>
      </c>
      <c r="L25" s="195">
        <f t="shared" si="13"/>
        <v>4.325</v>
      </c>
      <c r="M25" s="195">
        <f t="shared" si="13"/>
        <v>14.886</v>
      </c>
      <c r="N25" s="195">
        <f t="shared" si="13"/>
        <v>12.248</v>
      </c>
      <c r="O25" s="195">
        <f t="shared" si="13"/>
        <v>5.329</v>
      </c>
      <c r="P25" s="249">
        <f t="shared" si="13"/>
        <v>10.49302841</v>
      </c>
      <c r="Q25" s="249">
        <f t="shared" si="13"/>
        <v>12.12390609</v>
      </c>
      <c r="R25" s="249">
        <f t="shared" si="13"/>
        <v>13.45746711</v>
      </c>
      <c r="S25" s="249">
        <f t="shared" si="13"/>
        <v>13.45746711</v>
      </c>
      <c r="T25" s="249">
        <f t="shared" si="13"/>
        <v>13.89549437</v>
      </c>
    </row>
    <row r="26" ht="12.75" customHeight="1">
      <c r="C26" s="259" t="s">
        <v>315</v>
      </c>
      <c r="D26" s="259"/>
      <c r="E26" s="259"/>
      <c r="F26" s="259"/>
      <c r="G26" s="259"/>
      <c r="H26" s="260" t="s">
        <v>36</v>
      </c>
      <c r="I26" s="260"/>
      <c r="J26" s="277">
        <f t="shared" ref="J26:T26" si="14">J408</f>
        <v>110.115</v>
      </c>
      <c r="K26" s="277">
        <f t="shared" si="14"/>
        <v>50.685</v>
      </c>
      <c r="L26" s="277">
        <f t="shared" si="14"/>
        <v>83.762</v>
      </c>
      <c r="M26" s="277">
        <f t="shared" si="14"/>
        <v>109.336</v>
      </c>
      <c r="N26" s="277">
        <f t="shared" si="14"/>
        <v>89.385</v>
      </c>
      <c r="O26" s="277">
        <f t="shared" si="14"/>
        <v>77.987</v>
      </c>
      <c r="P26" s="262">
        <f t="shared" si="14"/>
        <v>89.16195562</v>
      </c>
      <c r="Q26" s="262">
        <f t="shared" si="14"/>
        <v>103.0199419</v>
      </c>
      <c r="R26" s="262">
        <f t="shared" si="14"/>
        <v>114.3515521</v>
      </c>
      <c r="S26" s="262">
        <f t="shared" si="14"/>
        <v>114.3515521</v>
      </c>
      <c r="T26" s="262">
        <f t="shared" si="14"/>
        <v>118.0735822</v>
      </c>
    </row>
    <row r="27" ht="12.75" customHeight="1">
      <c r="C27" s="196" t="s">
        <v>316</v>
      </c>
      <c r="H27" s="153" t="s">
        <v>36</v>
      </c>
      <c r="I27" s="153"/>
      <c r="J27" s="195">
        <f t="shared" ref="J27:T27" si="15">SUM(J24:J26)</f>
        <v>187.973</v>
      </c>
      <c r="K27" s="195">
        <f t="shared" si="15"/>
        <v>113.899</v>
      </c>
      <c r="L27" s="195">
        <f t="shared" si="15"/>
        <v>191.081</v>
      </c>
      <c r="M27" s="195">
        <f t="shared" si="15"/>
        <v>253.716</v>
      </c>
      <c r="N27" s="195">
        <f t="shared" si="15"/>
        <v>170.405</v>
      </c>
      <c r="O27" s="195">
        <f t="shared" si="15"/>
        <v>154.068</v>
      </c>
      <c r="P27" s="257">
        <f t="shared" si="15"/>
        <v>190.330397</v>
      </c>
      <c r="Q27" s="257">
        <f t="shared" si="15"/>
        <v>219.9124761</v>
      </c>
      <c r="R27" s="257">
        <f t="shared" si="15"/>
        <v>244.1016033</v>
      </c>
      <c r="S27" s="257">
        <f t="shared" si="15"/>
        <v>244.1016033</v>
      </c>
      <c r="T27" s="257">
        <f t="shared" si="15"/>
        <v>252.0468693</v>
      </c>
    </row>
    <row r="28" ht="12.75" customHeight="1">
      <c r="C28" s="154" t="s">
        <v>317</v>
      </c>
      <c r="H28" s="153" t="s">
        <v>32</v>
      </c>
      <c r="I28" s="153"/>
      <c r="J28" s="337">
        <f>IFERROR(J27/'Supuestos '!F14,"-")</f>
        <v>0.2527952683</v>
      </c>
      <c r="K28" s="337">
        <f>IFERROR(K27/'Supuestos '!G14,"-")</f>
        <v>0.212708859</v>
      </c>
      <c r="L28" s="337">
        <f>IFERROR(L27/'Supuestos '!H14,"-")</f>
        <v>0.2038416939</v>
      </c>
      <c r="M28" s="337">
        <f>IFERROR(M27/'Supuestos '!I14,"-")</f>
        <v>0.2667140421</v>
      </c>
      <c r="N28" s="337">
        <f>IFERROR(N27/'Supuestos '!J14,"-")</f>
        <v>0.1929653511</v>
      </c>
      <c r="O28" s="337">
        <f>IFERROR(O27/'Supuestos '!K14,"-")</f>
        <v>0.1604004493</v>
      </c>
      <c r="P28" s="338">
        <f>IFERROR(P27/'Supuestos '!L14,"-")</f>
        <v>0.2063705453</v>
      </c>
      <c r="Q28" s="338">
        <f>IFERROR(Q27/'Supuestos '!M14,"-")</f>
        <v>0.2063705453</v>
      </c>
      <c r="R28" s="338">
        <f>IFERROR(R27/'Supuestos '!N14,"-")</f>
        <v>0.2063705453</v>
      </c>
      <c r="S28" s="338">
        <f>IFERROR(S27/'Supuestos '!O14,"-")</f>
        <v>0.2063705453</v>
      </c>
      <c r="T28" s="338">
        <f>IFERROR(T27/'Supuestos '!P14,"-")</f>
        <v>0.2063705453</v>
      </c>
    </row>
    <row r="29" ht="12.75" customHeight="1">
      <c r="C29" s="15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</row>
    <row r="30" ht="12.75" customHeight="1">
      <c r="C30" s="196" t="s">
        <v>318</v>
      </c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</row>
    <row r="31" ht="12.75" customHeight="1">
      <c r="C31" s="154" t="s">
        <v>319</v>
      </c>
      <c r="H31" s="153" t="s">
        <v>36</v>
      </c>
      <c r="I31" s="153"/>
      <c r="J31" s="194">
        <f t="shared" ref="J31:T31" si="16">J89</f>
        <v>113.456</v>
      </c>
      <c r="K31" s="194">
        <f t="shared" si="16"/>
        <v>85.441</v>
      </c>
      <c r="L31" s="194">
        <f t="shared" si="16"/>
        <v>96.667</v>
      </c>
      <c r="M31" s="194">
        <f t="shared" si="16"/>
        <v>111.453</v>
      </c>
      <c r="N31" s="194">
        <f t="shared" si="16"/>
        <v>109.222</v>
      </c>
      <c r="O31" s="194">
        <f t="shared" si="16"/>
        <v>111.835</v>
      </c>
      <c r="P31" s="252">
        <f t="shared" si="16"/>
        <v>0.7307609816</v>
      </c>
      <c r="Q31" s="252">
        <f t="shared" si="16"/>
        <v>2.305861383</v>
      </c>
      <c r="R31" s="252">
        <f t="shared" si="16"/>
        <v>3.243073357</v>
      </c>
      <c r="S31" s="252">
        <f t="shared" si="16"/>
        <v>4.180285332</v>
      </c>
      <c r="T31" s="252">
        <f t="shared" si="16"/>
        <v>5.146628034</v>
      </c>
    </row>
    <row r="32" ht="12.75" customHeight="1">
      <c r="C32" s="154" t="s">
        <v>320</v>
      </c>
      <c r="H32" s="153" t="s">
        <v>36</v>
      </c>
      <c r="I32" s="153"/>
      <c r="J32" s="194" t="str">
        <f>J381</f>
        <v/>
      </c>
      <c r="K32" s="194">
        <f t="shared" ref="K32:O32" si="17">-K381</f>
        <v>16.218</v>
      </c>
      <c r="L32" s="194">
        <f t="shared" si="17"/>
        <v>4.826</v>
      </c>
      <c r="M32" s="194">
        <f t="shared" si="17"/>
        <v>7.086</v>
      </c>
      <c r="N32" s="194">
        <f t="shared" si="17"/>
        <v>5.438</v>
      </c>
      <c r="O32" s="194">
        <f t="shared" si="17"/>
        <v>7.444</v>
      </c>
      <c r="P32" s="249">
        <f t="shared" ref="P32:T32" si="18">P381</f>
        <v>-9.183485987</v>
      </c>
      <c r="Q32" s="249">
        <f t="shared" si="18"/>
        <v>-12.50879629</v>
      </c>
      <c r="R32" s="249">
        <f t="shared" si="18"/>
        <v>-9.009792261</v>
      </c>
      <c r="S32" s="249">
        <f t="shared" si="18"/>
        <v>-12.58647198</v>
      </c>
      <c r="T32" s="249">
        <f t="shared" si="18"/>
        <v>-16.60810827</v>
      </c>
    </row>
    <row r="33" ht="12.75" customHeight="1">
      <c r="C33" s="259" t="s">
        <v>321</v>
      </c>
      <c r="D33" s="259"/>
      <c r="E33" s="259"/>
      <c r="F33" s="259"/>
      <c r="G33" s="259"/>
      <c r="H33" s="260" t="s">
        <v>36</v>
      </c>
      <c r="I33" s="260"/>
      <c r="J33" s="339">
        <f t="shared" ref="J33:T33" si="19">-J412</f>
        <v>69.06</v>
      </c>
      <c r="K33" s="339">
        <f t="shared" si="19"/>
        <v>46.351</v>
      </c>
      <c r="L33" s="339">
        <f t="shared" si="19"/>
        <v>92.745</v>
      </c>
      <c r="M33" s="339">
        <f t="shared" si="19"/>
        <v>106.255</v>
      </c>
      <c r="N33" s="339">
        <f t="shared" si="19"/>
        <v>92.455</v>
      </c>
      <c r="O33" s="339">
        <f t="shared" si="19"/>
        <v>75.685</v>
      </c>
      <c r="P33" s="262">
        <f t="shared" si="19"/>
        <v>79.26337197</v>
      </c>
      <c r="Q33" s="262">
        <f t="shared" si="19"/>
        <v>83.32238625</v>
      </c>
      <c r="R33" s="262">
        <f t="shared" si="19"/>
        <v>87.91342219</v>
      </c>
      <c r="S33" s="262">
        <f t="shared" si="19"/>
        <v>92.74378957</v>
      </c>
      <c r="T33" s="262">
        <f t="shared" si="19"/>
        <v>97.65276878</v>
      </c>
    </row>
    <row r="34" ht="12.75" customHeight="1">
      <c r="C34" s="196" t="s">
        <v>226</v>
      </c>
      <c r="H34" s="153" t="s">
        <v>36</v>
      </c>
      <c r="I34" s="153"/>
      <c r="J34" s="194">
        <f t="shared" ref="J34:T34" si="20">SUM(J31:J33)</f>
        <v>182.516</v>
      </c>
      <c r="K34" s="194">
        <f t="shared" si="20"/>
        <v>148.01</v>
      </c>
      <c r="L34" s="194">
        <f t="shared" si="20"/>
        <v>194.238</v>
      </c>
      <c r="M34" s="194">
        <f t="shared" si="20"/>
        <v>224.794</v>
      </c>
      <c r="N34" s="194">
        <f t="shared" si="20"/>
        <v>207.115</v>
      </c>
      <c r="O34" s="194">
        <f t="shared" si="20"/>
        <v>194.964</v>
      </c>
      <c r="P34" s="252">
        <f t="shared" si="20"/>
        <v>70.81064696</v>
      </c>
      <c r="Q34" s="252">
        <f t="shared" si="20"/>
        <v>73.11945135</v>
      </c>
      <c r="R34" s="252">
        <f t="shared" si="20"/>
        <v>82.14670329</v>
      </c>
      <c r="S34" s="252">
        <f t="shared" si="20"/>
        <v>84.33760291</v>
      </c>
      <c r="T34" s="252">
        <f t="shared" si="20"/>
        <v>86.19128854</v>
      </c>
    </row>
    <row r="35" ht="12.75" customHeight="1">
      <c r="C35" s="154" t="s">
        <v>322</v>
      </c>
      <c r="H35" s="153" t="s">
        <v>323</v>
      </c>
      <c r="I35" s="153"/>
      <c r="J35" s="337">
        <f>IFERROR(J34/'Supuestos '!F14,"-")</f>
        <v>0.2454564282</v>
      </c>
      <c r="K35" s="337">
        <f>IFERROR(K34/'Supuestos '!G14,"-")</f>
        <v>0.2764118931</v>
      </c>
      <c r="L35" s="337">
        <f>IFERROR(L34/'Supuestos '!H14,"-")</f>
        <v>0.2072095234</v>
      </c>
      <c r="M35" s="337">
        <f>IFERROR(M34/'Supuestos '!I14,"-")</f>
        <v>0.2363103485</v>
      </c>
      <c r="N35" s="337">
        <f>IFERROR(N34/'Supuestos '!J14,"-")</f>
        <v>0.2345354813</v>
      </c>
      <c r="O35" s="337">
        <f>IFERROR(O34/'Supuestos '!K14,"-")</f>
        <v>0.2029773425</v>
      </c>
      <c r="P35" s="338">
        <f>IFERROR(P34/'Supuestos '!L14,"-")</f>
        <v>0.07677823434</v>
      </c>
      <c r="Q35" s="338">
        <f>IFERROR(Q34/'Supuestos '!M14,"-")</f>
        <v>0.06861684844</v>
      </c>
      <c r="R35" s="338">
        <f>IFERROR(R34/'Supuestos '!N14,"-")</f>
        <v>0.06944919543</v>
      </c>
      <c r="S35" s="338">
        <f>IFERROR(S34/'Supuestos '!O14,"-")</f>
        <v>0.07130144524</v>
      </c>
      <c r="T35" s="338">
        <f>IFERROR(T34/'Supuestos '!P14,"-")</f>
        <v>0.07057156975</v>
      </c>
    </row>
    <row r="36" ht="12.75" customHeight="1">
      <c r="C36" s="196"/>
      <c r="H36" s="153"/>
      <c r="I36" s="153"/>
      <c r="J36" s="194"/>
      <c r="K36" s="194"/>
      <c r="L36" s="194"/>
      <c r="M36" s="194"/>
      <c r="N36" s="194"/>
      <c r="O36" s="194"/>
    </row>
    <row r="37" ht="12.75" customHeight="1"/>
    <row r="38" ht="12.75" customHeight="1">
      <c r="A38" s="78" t="s">
        <v>33</v>
      </c>
      <c r="B38" s="275" t="s">
        <v>324</v>
      </c>
      <c r="C38" s="220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340"/>
      <c r="Q38" s="340"/>
      <c r="R38" s="340"/>
      <c r="S38" s="340"/>
      <c r="T38" s="340"/>
    </row>
    <row r="39" ht="12.75" customHeight="1"/>
    <row r="40" ht="12.75" customHeight="1">
      <c r="C40" s="227" t="s">
        <v>325</v>
      </c>
    </row>
    <row r="41" ht="12.75" customHeight="1">
      <c r="B41" s="78">
        <v>1.0</v>
      </c>
      <c r="C41" s="154" t="s">
        <v>326</v>
      </c>
      <c r="H41" s="153" t="s">
        <v>36</v>
      </c>
      <c r="I41" s="153"/>
      <c r="J41" s="267">
        <f>31353/1000</f>
        <v>31.353</v>
      </c>
      <c r="K41" s="267">
        <f>31498/1000</f>
        <v>31.498</v>
      </c>
      <c r="L41" s="267">
        <f>23537/1000</f>
        <v>23.537</v>
      </c>
      <c r="M41" s="267">
        <f>23919/1000</f>
        <v>23.919</v>
      </c>
      <c r="N41" s="267">
        <f>23573/1000</f>
        <v>23.573</v>
      </c>
      <c r="O41" s="267">
        <f>23106/1000</f>
        <v>23.106</v>
      </c>
      <c r="P41" s="257">
        <f t="shared" ref="P41:R41" si="21">O41+P53</f>
        <v>23.31031086</v>
      </c>
      <c r="Q41" s="257">
        <f t="shared" si="21"/>
        <v>23.5463767</v>
      </c>
      <c r="R41" s="257">
        <f t="shared" si="21"/>
        <v>23.80840846</v>
      </c>
      <c r="S41" s="257">
        <f t="shared" ref="S41:T41" si="22">+R41+S53</f>
        <v>24.07044021</v>
      </c>
      <c r="T41" s="257">
        <f t="shared" si="22"/>
        <v>24.34100084</v>
      </c>
    </row>
    <row r="42" ht="12.75" customHeight="1">
      <c r="B42" s="78">
        <v>2.0</v>
      </c>
      <c r="C42" s="154" t="s">
        <v>327</v>
      </c>
      <c r="H42" s="153" t="s">
        <v>36</v>
      </c>
      <c r="I42" s="153"/>
      <c r="J42" s="267">
        <f>747170/1000</f>
        <v>747.17</v>
      </c>
      <c r="K42" s="267">
        <f>940701/1000</f>
        <v>940.701</v>
      </c>
      <c r="L42" s="267">
        <f>976667/1000</f>
        <v>976.667</v>
      </c>
      <c r="M42" s="267">
        <f>1078997/1000</f>
        <v>1078.997</v>
      </c>
      <c r="N42" s="267">
        <f>1200955/1000</f>
        <v>1200.955</v>
      </c>
      <c r="O42" s="267">
        <f>1175308/1000</f>
        <v>1175.308</v>
      </c>
      <c r="P42" s="257">
        <f t="shared" ref="P42:R42" si="23">O42+P54</f>
        <v>1178.882521</v>
      </c>
      <c r="Q42" s="257">
        <f t="shared" si="23"/>
        <v>1183.012611</v>
      </c>
      <c r="R42" s="257">
        <f t="shared" si="23"/>
        <v>1187.596988</v>
      </c>
      <c r="S42" s="257">
        <f t="shared" ref="S42:T42" si="24">+R42+S54</f>
        <v>1192.181365</v>
      </c>
      <c r="T42" s="257">
        <f t="shared" si="24"/>
        <v>1196.914959</v>
      </c>
    </row>
    <row r="43" ht="12.75" customHeight="1">
      <c r="B43" s="78">
        <v>3.0</v>
      </c>
      <c r="C43" s="154" t="s">
        <v>328</v>
      </c>
      <c r="H43" s="153" t="s">
        <v>36</v>
      </c>
      <c r="I43" s="153"/>
      <c r="J43" s="267">
        <f>11773/1000</f>
        <v>11.773</v>
      </c>
      <c r="K43" s="267">
        <f t="shared" ref="K43:L43" si="25">22281/1000</f>
        <v>22.281</v>
      </c>
      <c r="L43" s="267">
        <f t="shared" si="25"/>
        <v>22.281</v>
      </c>
      <c r="M43" s="267">
        <f>259/1000</f>
        <v>0.259</v>
      </c>
      <c r="N43" s="267">
        <f t="shared" ref="N43:O43" si="26">680/1000</f>
        <v>0.68</v>
      </c>
      <c r="O43" s="267">
        <f t="shared" si="26"/>
        <v>0.68</v>
      </c>
      <c r="P43" s="257">
        <f t="shared" ref="P43:R43" si="27">O43+P55</f>
        <v>0.68</v>
      </c>
      <c r="Q43" s="257">
        <f t="shared" si="27"/>
        <v>0.68</v>
      </c>
      <c r="R43" s="257">
        <f t="shared" si="27"/>
        <v>0.68</v>
      </c>
      <c r="S43" s="257">
        <f t="shared" ref="S43:T43" si="28">+R43+S55</f>
        <v>0.68</v>
      </c>
      <c r="T43" s="257">
        <f t="shared" si="28"/>
        <v>0.68</v>
      </c>
    </row>
    <row r="44" ht="12.75" customHeight="1">
      <c r="B44" s="78">
        <v>4.0</v>
      </c>
      <c r="C44" s="154" t="s">
        <v>329</v>
      </c>
      <c r="H44" s="153" t="s">
        <v>36</v>
      </c>
      <c r="I44" s="153"/>
      <c r="J44" s="267">
        <f>167681/1000</f>
        <v>167.681</v>
      </c>
      <c r="K44" s="267">
        <f>285931/1000</f>
        <v>285.931</v>
      </c>
      <c r="L44" s="267">
        <f>300338/1000</f>
        <v>300.338</v>
      </c>
      <c r="M44" s="267">
        <f>193491/1000</f>
        <v>193.491</v>
      </c>
      <c r="N44" s="267">
        <f>187986/1000</f>
        <v>187.986</v>
      </c>
      <c r="O44" s="267">
        <f>178080/1000</f>
        <v>178.08</v>
      </c>
      <c r="P44" s="257">
        <f t="shared" ref="P44:R44" si="29">O44+P56</f>
        <v>184.077518</v>
      </c>
      <c r="Q44" s="257">
        <f t="shared" si="29"/>
        <v>191.0071994</v>
      </c>
      <c r="R44" s="257">
        <f t="shared" si="29"/>
        <v>198.6991066</v>
      </c>
      <c r="S44" s="257">
        <f t="shared" ref="S44:T44" si="30">+R44+S56</f>
        <v>206.3910138</v>
      </c>
      <c r="T44" s="257">
        <f t="shared" si="30"/>
        <v>214.333285</v>
      </c>
    </row>
    <row r="45" ht="12.75" customHeight="1">
      <c r="B45" s="78">
        <v>5.0</v>
      </c>
      <c r="C45" s="154" t="s">
        <v>330</v>
      </c>
      <c r="H45" s="153" t="s">
        <v>36</v>
      </c>
      <c r="I45" s="153"/>
      <c r="J45" s="267">
        <f>4223/1000</f>
        <v>4.223</v>
      </c>
      <c r="K45" s="267">
        <f>11172/1000</f>
        <v>11.172</v>
      </c>
      <c r="L45" s="267">
        <f>11561/1000</f>
        <v>11.561</v>
      </c>
      <c r="M45" s="267">
        <f>3500/1000</f>
        <v>3.5</v>
      </c>
      <c r="N45" s="267">
        <f>3320/1000</f>
        <v>3.32</v>
      </c>
      <c r="O45" s="267">
        <f>2916/1000</f>
        <v>2.916</v>
      </c>
      <c r="P45" s="257">
        <f t="shared" ref="P45:R45" si="31">O45+P57</f>
        <v>2.966821575</v>
      </c>
      <c r="Q45" s="257">
        <f t="shared" si="31"/>
        <v>3.025542088</v>
      </c>
      <c r="R45" s="257">
        <f t="shared" si="31"/>
        <v>3.090721524</v>
      </c>
      <c r="S45" s="257">
        <f t="shared" ref="S45:T45" si="32">+R45+S57</f>
        <v>3.15590096</v>
      </c>
      <c r="T45" s="257">
        <f t="shared" si="32"/>
        <v>3.223201923</v>
      </c>
    </row>
    <row r="46" ht="12.75" customHeight="1">
      <c r="B46" s="78">
        <v>6.0</v>
      </c>
      <c r="C46" s="154" t="s">
        <v>331</v>
      </c>
      <c r="H46" s="153" t="s">
        <v>36</v>
      </c>
      <c r="I46" s="153"/>
      <c r="J46" s="267">
        <f>12780/1000</f>
        <v>12.78</v>
      </c>
      <c r="K46" s="267">
        <f>15265/1000</f>
        <v>15.265</v>
      </c>
      <c r="L46" s="267">
        <f>16030/1000</f>
        <v>16.03</v>
      </c>
      <c r="M46" s="267">
        <f>10485/1000</f>
        <v>10.485</v>
      </c>
      <c r="N46" s="267">
        <f>8937/1000</f>
        <v>8.937</v>
      </c>
      <c r="O46" s="267">
        <f>8927/1000</f>
        <v>8.927</v>
      </c>
      <c r="P46" s="257">
        <f t="shared" ref="P46:R46" si="33">O46+P58</f>
        <v>9.106878267</v>
      </c>
      <c r="Q46" s="257">
        <f t="shared" si="33"/>
        <v>9.314714091</v>
      </c>
      <c r="R46" s="257">
        <f t="shared" si="33"/>
        <v>9.54541068</v>
      </c>
      <c r="S46" s="257">
        <f t="shared" ref="S46:T46" si="34">+R46+S58</f>
        <v>9.776107268</v>
      </c>
      <c r="T46" s="257">
        <f t="shared" si="34"/>
        <v>10.0143128</v>
      </c>
    </row>
    <row r="47" ht="12.75" customHeight="1">
      <c r="B47" s="78">
        <v>7.0</v>
      </c>
      <c r="C47" s="154" t="s">
        <v>332</v>
      </c>
      <c r="H47" s="153" t="s">
        <v>36</v>
      </c>
      <c r="I47" s="153"/>
      <c r="J47" s="267">
        <f>355816/1000</f>
        <v>355.816</v>
      </c>
      <c r="K47" s="267">
        <f>479759/1000</f>
        <v>479.759</v>
      </c>
      <c r="L47" s="267">
        <f>497908/1000</f>
        <v>497.908</v>
      </c>
      <c r="M47" s="267">
        <f>399352/1000</f>
        <v>399.352</v>
      </c>
      <c r="N47" s="267">
        <f>430633/1000</f>
        <v>430.633</v>
      </c>
      <c r="O47" s="267">
        <f>444796/1000</f>
        <v>444.796</v>
      </c>
      <c r="P47" s="257">
        <f t="shared" ref="P47:R47" si="35">O47+P59</f>
        <v>460.831598</v>
      </c>
      <c r="Q47" s="257">
        <f t="shared" si="35"/>
        <v>479.3595269</v>
      </c>
      <c r="R47" s="257">
        <f t="shared" si="35"/>
        <v>499.925423</v>
      </c>
      <c r="S47" s="257">
        <f t="shared" ref="S47:T47" si="36">+R47+S59</f>
        <v>520.4913191</v>
      </c>
      <c r="T47" s="257">
        <f t="shared" si="36"/>
        <v>541.7266149</v>
      </c>
    </row>
    <row r="48" ht="12.75" customHeight="1">
      <c r="B48" s="78">
        <v>8.0</v>
      </c>
      <c r="C48" s="154" t="s">
        <v>333</v>
      </c>
      <c r="H48" s="153" t="s">
        <v>36</v>
      </c>
      <c r="I48" s="153"/>
      <c r="J48" s="267">
        <f>3724/1000</f>
        <v>3.724</v>
      </c>
      <c r="K48" s="267">
        <f>9326/1000</f>
        <v>9.326</v>
      </c>
      <c r="L48" s="267">
        <f>1602/1000</f>
        <v>1.602</v>
      </c>
      <c r="M48" s="267">
        <f>1620/1000</f>
        <v>1.62</v>
      </c>
      <c r="N48" s="267">
        <f>3244/1000</f>
        <v>3.244</v>
      </c>
      <c r="O48" s="267">
        <f>565/1000</f>
        <v>0.565</v>
      </c>
      <c r="P48" s="257">
        <f t="shared" ref="P48:R48" si="37">O48+P60</f>
        <v>1.784088288</v>
      </c>
      <c r="Q48" s="257">
        <f t="shared" si="37"/>
        <v>3.192653227</v>
      </c>
      <c r="R48" s="257">
        <f t="shared" si="37"/>
        <v>4.756152333</v>
      </c>
      <c r="S48" s="257">
        <f t="shared" ref="S48:T48" si="38">+R48+S60</f>
        <v>6.319651439</v>
      </c>
      <c r="T48" s="257">
        <f t="shared" si="38"/>
        <v>7.934040896</v>
      </c>
    </row>
    <row r="49" ht="12.75" customHeight="1">
      <c r="B49" s="78">
        <v>9.0</v>
      </c>
      <c r="C49" s="259" t="s">
        <v>334</v>
      </c>
      <c r="D49" s="259"/>
      <c r="E49" s="259"/>
      <c r="F49" s="259"/>
      <c r="G49" s="259"/>
      <c r="H49" s="260" t="s">
        <v>36</v>
      </c>
      <c r="I49" s="260"/>
      <c r="J49" s="268">
        <f>53661/1000</f>
        <v>53.661</v>
      </c>
      <c r="K49" s="268">
        <f>63734/1000</f>
        <v>63.734</v>
      </c>
      <c r="L49" s="268">
        <f>79696/1000</f>
        <v>79.696</v>
      </c>
      <c r="M49" s="268">
        <f>104404/1000</f>
        <v>104.404</v>
      </c>
      <c r="N49" s="268">
        <f>86629/1000</f>
        <v>86.629</v>
      </c>
      <c r="O49" s="268">
        <f>101303/1000</f>
        <v>101.303</v>
      </c>
      <c r="P49" s="257">
        <f t="shared" ref="P49:R49" si="39">O49+P61</f>
        <v>164.7166772</v>
      </c>
      <c r="Q49" s="257">
        <f t="shared" si="39"/>
        <v>237.9864175</v>
      </c>
      <c r="R49" s="257">
        <f t="shared" si="39"/>
        <v>319.3154144</v>
      </c>
      <c r="S49" s="257">
        <f t="shared" ref="S49:T49" si="40">+R49+S61</f>
        <v>400.6444113</v>
      </c>
      <c r="T49" s="257">
        <f t="shared" si="40"/>
        <v>484.6205867</v>
      </c>
    </row>
    <row r="50" ht="12.75" customHeight="1">
      <c r="C50" s="196" t="s">
        <v>335</v>
      </c>
      <c r="H50" s="153" t="s">
        <v>36</v>
      </c>
      <c r="I50" s="153"/>
      <c r="J50" s="194">
        <f t="shared" ref="J50:O50" si="41">+SUM(J41:J49)</f>
        <v>1388.181</v>
      </c>
      <c r="K50" s="194">
        <f t="shared" si="41"/>
        <v>1859.667</v>
      </c>
      <c r="L50" s="194">
        <f t="shared" si="41"/>
        <v>1929.62</v>
      </c>
      <c r="M50" s="194">
        <f t="shared" si="41"/>
        <v>1816.027</v>
      </c>
      <c r="N50" s="194">
        <f t="shared" si="41"/>
        <v>1945.957</v>
      </c>
      <c r="O50" s="194">
        <f t="shared" si="41"/>
        <v>1935.681</v>
      </c>
      <c r="P50" s="341">
        <f t="shared" ref="P50:T50" si="42">SUM(P41:P49)</f>
        <v>2026.356413</v>
      </c>
      <c r="Q50" s="341">
        <f t="shared" si="42"/>
        <v>2131.125041</v>
      </c>
      <c r="R50" s="341">
        <f t="shared" si="42"/>
        <v>2247.417625</v>
      </c>
      <c r="S50" s="341">
        <f t="shared" si="42"/>
        <v>2363.710209</v>
      </c>
      <c r="T50" s="341">
        <f t="shared" si="42"/>
        <v>2483.788002</v>
      </c>
    </row>
    <row r="51" ht="12.75" customHeight="1">
      <c r="C51" s="154"/>
      <c r="H51" s="153"/>
      <c r="I51" s="153"/>
      <c r="P51" s="243"/>
    </row>
    <row r="52" ht="12.75" customHeight="1">
      <c r="C52" s="227" t="s">
        <v>336</v>
      </c>
      <c r="H52" s="153"/>
      <c r="I52" s="153"/>
    </row>
    <row r="53" ht="12.75" customHeight="1">
      <c r="B53" s="78">
        <v>1.0</v>
      </c>
      <c r="C53" s="154" t="s">
        <v>326</v>
      </c>
      <c r="H53" s="153" t="s">
        <v>36</v>
      </c>
      <c r="I53" s="153"/>
      <c r="J53" s="342">
        <f>2163/1000</f>
        <v>2.163</v>
      </c>
      <c r="K53" s="342">
        <f>145/1000</f>
        <v>0.145</v>
      </c>
      <c r="L53" s="342">
        <v>0.0</v>
      </c>
      <c r="M53" s="342">
        <f>382/1000</f>
        <v>0.382</v>
      </c>
      <c r="N53" s="342">
        <f>262/1000</f>
        <v>0.262</v>
      </c>
      <c r="O53" s="342">
        <v>0.0</v>
      </c>
      <c r="P53" s="257">
        <f t="shared" ref="P53:P61" si="43">$P$62*P104</f>
        <v>0.2043108566</v>
      </c>
      <c r="Q53" s="257">
        <f t="shared" ref="Q53:Q61" si="44">$Q$62*Q104</f>
        <v>0.236065847</v>
      </c>
      <c r="R53" s="257">
        <f t="shared" ref="R53:R61" si="45">$R$62*R104</f>
        <v>0.2620317535</v>
      </c>
      <c r="S53" s="257">
        <f t="shared" ref="S53:S61" si="46">$S$62*S104</f>
        <v>0.2620317535</v>
      </c>
      <c r="T53" s="257">
        <f t="shared" ref="T53:T61" si="47">$T$62*T104</f>
        <v>0.2705606281</v>
      </c>
    </row>
    <row r="54" ht="12.75" customHeight="1">
      <c r="B54" s="78">
        <v>2.0</v>
      </c>
      <c r="C54" s="154" t="s">
        <v>327</v>
      </c>
      <c r="H54" s="153" t="s">
        <v>36</v>
      </c>
      <c r="I54" s="153"/>
      <c r="J54" s="342">
        <f>7794/1000</f>
        <v>7.794</v>
      </c>
      <c r="K54" s="342">
        <f>227/1000</f>
        <v>0.227</v>
      </c>
      <c r="L54" s="342">
        <f>2290/1000</f>
        <v>2.29</v>
      </c>
      <c r="M54" s="342">
        <f>7500/1000</f>
        <v>7.5</v>
      </c>
      <c r="N54" s="342">
        <f>3597/1000</f>
        <v>3.597</v>
      </c>
      <c r="O54" s="342">
        <f>569/1000</f>
        <v>0.569</v>
      </c>
      <c r="P54" s="257">
        <f t="shared" si="43"/>
        <v>3.57452089</v>
      </c>
      <c r="Q54" s="257">
        <f t="shared" si="44"/>
        <v>4.13009037</v>
      </c>
      <c r="R54" s="257">
        <f t="shared" si="45"/>
        <v>4.584376925</v>
      </c>
      <c r="S54" s="257">
        <f t="shared" si="46"/>
        <v>4.584376925</v>
      </c>
      <c r="T54" s="257">
        <f t="shared" si="47"/>
        <v>4.733593864</v>
      </c>
    </row>
    <row r="55" ht="12.75" customHeight="1">
      <c r="B55" s="78">
        <v>3.0</v>
      </c>
      <c r="C55" s="154" t="s">
        <v>328</v>
      </c>
      <c r="H55" s="153" t="s">
        <v>36</v>
      </c>
      <c r="I55" s="153"/>
      <c r="J55" s="342">
        <v>0.0</v>
      </c>
      <c r="K55" s="342">
        <v>0.0</v>
      </c>
      <c r="L55" s="342">
        <v>0.0</v>
      </c>
      <c r="M55" s="342">
        <v>0.0</v>
      </c>
      <c r="N55" s="342">
        <v>0.0</v>
      </c>
      <c r="O55" s="342">
        <v>0.0</v>
      </c>
      <c r="P55" s="257">
        <f t="shared" si="43"/>
        <v>0</v>
      </c>
      <c r="Q55" s="257">
        <f t="shared" si="44"/>
        <v>0</v>
      </c>
      <c r="R55" s="257">
        <f t="shared" si="45"/>
        <v>0</v>
      </c>
      <c r="S55" s="257">
        <f t="shared" si="46"/>
        <v>0</v>
      </c>
      <c r="T55" s="257">
        <f t="shared" si="47"/>
        <v>0</v>
      </c>
    </row>
    <row r="56" ht="12.75" customHeight="1">
      <c r="B56" s="78">
        <v>4.0</v>
      </c>
      <c r="C56" s="154" t="s">
        <v>329</v>
      </c>
      <c r="H56" s="153" t="s">
        <v>36</v>
      </c>
      <c r="I56" s="153"/>
      <c r="J56" s="342">
        <f>7593/1000</f>
        <v>7.593</v>
      </c>
      <c r="K56" s="342">
        <f>10596/1000</f>
        <v>10.596</v>
      </c>
      <c r="L56" s="342">
        <f>19312/1000</f>
        <v>19.312</v>
      </c>
      <c r="M56" s="342">
        <f>16323/1000</f>
        <v>16.323</v>
      </c>
      <c r="N56" s="342">
        <f>1832/1000</f>
        <v>1.832</v>
      </c>
      <c r="O56" s="342">
        <f>3236/1000</f>
        <v>3.236</v>
      </c>
      <c r="P56" s="257">
        <f t="shared" si="43"/>
        <v>5.997517957</v>
      </c>
      <c r="Q56" s="257">
        <f t="shared" si="44"/>
        <v>6.929681465</v>
      </c>
      <c r="R56" s="257">
        <f t="shared" si="45"/>
        <v>7.691907188</v>
      </c>
      <c r="S56" s="257">
        <f t="shared" si="46"/>
        <v>7.691907188</v>
      </c>
      <c r="T56" s="257">
        <f t="shared" si="47"/>
        <v>7.942271166</v>
      </c>
    </row>
    <row r="57" ht="12.75" customHeight="1">
      <c r="B57" s="78">
        <v>5.0</v>
      </c>
      <c r="C57" s="154" t="s">
        <v>330</v>
      </c>
      <c r="H57" s="153" t="s">
        <v>36</v>
      </c>
      <c r="I57" s="153"/>
      <c r="J57" s="342">
        <f>189/1000</f>
        <v>0.189</v>
      </c>
      <c r="K57" s="342">
        <f>46/1000</f>
        <v>0.046</v>
      </c>
      <c r="L57" s="342">
        <f>389/1000</f>
        <v>0.389</v>
      </c>
      <c r="M57" s="342">
        <f>310/1000</f>
        <v>0.31</v>
      </c>
      <c r="N57" s="342">
        <f>+-49/1000</f>
        <v>-0.049</v>
      </c>
      <c r="O57" s="342">
        <v>0.0</v>
      </c>
      <c r="P57" s="257">
        <f t="shared" si="43"/>
        <v>0.05082157523</v>
      </c>
      <c r="Q57" s="257">
        <f t="shared" si="44"/>
        <v>0.05872051246</v>
      </c>
      <c r="R57" s="257">
        <f t="shared" si="45"/>
        <v>0.06517943633</v>
      </c>
      <c r="S57" s="257">
        <f t="shared" si="46"/>
        <v>0.06517943633</v>
      </c>
      <c r="T57" s="257">
        <f t="shared" si="47"/>
        <v>0.06730096258</v>
      </c>
    </row>
    <row r="58" ht="12.75" customHeight="1">
      <c r="B58" s="78">
        <v>6.0</v>
      </c>
      <c r="C58" s="154" t="s">
        <v>331</v>
      </c>
      <c r="H58" s="153" t="s">
        <v>36</v>
      </c>
      <c r="I58" s="153"/>
      <c r="J58" s="342">
        <f>434/1000</f>
        <v>0.434</v>
      </c>
      <c r="K58" s="342">
        <f>510/1000</f>
        <v>0.51</v>
      </c>
      <c r="L58" s="342">
        <f>696/1000</f>
        <v>0.696</v>
      </c>
      <c r="M58" s="342">
        <f>592/1000</f>
        <v>0.592</v>
      </c>
      <c r="N58" s="342">
        <f>56/1000</f>
        <v>0.056</v>
      </c>
      <c r="O58" s="342">
        <f>40/1000</f>
        <v>0.04</v>
      </c>
      <c r="P58" s="257">
        <f t="shared" si="43"/>
        <v>0.1798782667</v>
      </c>
      <c r="Q58" s="257">
        <f t="shared" si="44"/>
        <v>0.2078358247</v>
      </c>
      <c r="R58" s="257">
        <f t="shared" si="45"/>
        <v>0.2306965885</v>
      </c>
      <c r="S58" s="257">
        <f t="shared" si="46"/>
        <v>0.2306965885</v>
      </c>
      <c r="T58" s="257">
        <f t="shared" si="47"/>
        <v>0.2382055346</v>
      </c>
    </row>
    <row r="59" ht="12.75" customHeight="1">
      <c r="B59" s="78">
        <v>7.0</v>
      </c>
      <c r="C59" s="154" t="s">
        <v>332</v>
      </c>
      <c r="H59" s="153" t="s">
        <v>36</v>
      </c>
      <c r="I59" s="153"/>
      <c r="J59" s="342">
        <f>16964/1000</f>
        <v>16.964</v>
      </c>
      <c r="K59" s="342">
        <f>13830/1000</f>
        <v>13.83</v>
      </c>
      <c r="L59" s="342">
        <f>23487/1000</f>
        <v>23.487</v>
      </c>
      <c r="M59" s="342">
        <f>28071/1000</f>
        <v>28.071</v>
      </c>
      <c r="N59" s="342">
        <f>11581/1000</f>
        <v>11.581</v>
      </c>
      <c r="O59" s="342">
        <f>10285/1000</f>
        <v>10.285</v>
      </c>
      <c r="P59" s="257">
        <f t="shared" si="43"/>
        <v>16.03559798</v>
      </c>
      <c r="Q59" s="257">
        <f t="shared" si="44"/>
        <v>18.52792887</v>
      </c>
      <c r="R59" s="257">
        <f t="shared" si="45"/>
        <v>20.56589614</v>
      </c>
      <c r="S59" s="257">
        <f t="shared" si="46"/>
        <v>20.56589614</v>
      </c>
      <c r="T59" s="257">
        <f t="shared" si="47"/>
        <v>21.23529574</v>
      </c>
    </row>
    <row r="60" ht="12.75" customHeight="1">
      <c r="B60" s="78">
        <v>8.0</v>
      </c>
      <c r="C60" s="154" t="s">
        <v>333</v>
      </c>
      <c r="H60" s="153" t="s">
        <v>36</v>
      </c>
      <c r="I60" s="153"/>
      <c r="J60" s="342">
        <f>4000/1000</f>
        <v>4</v>
      </c>
      <c r="K60" s="342">
        <f>6066/1000</f>
        <v>6.066</v>
      </c>
      <c r="L60" s="342">
        <v>0.0</v>
      </c>
      <c r="M60" s="342">
        <f>1288/1000</f>
        <v>1.288</v>
      </c>
      <c r="N60" s="342">
        <f>1874/1000</f>
        <v>1.874</v>
      </c>
      <c r="O60" s="342">
        <f>222/1000</f>
        <v>0.222</v>
      </c>
      <c r="P60" s="257">
        <f t="shared" si="43"/>
        <v>1.219088288</v>
      </c>
      <c r="Q60" s="257">
        <f t="shared" si="44"/>
        <v>1.408564939</v>
      </c>
      <c r="R60" s="257">
        <f t="shared" si="45"/>
        <v>1.563499106</v>
      </c>
      <c r="S60" s="257">
        <f t="shared" si="46"/>
        <v>1.563499106</v>
      </c>
      <c r="T60" s="257">
        <f t="shared" si="47"/>
        <v>1.614389457</v>
      </c>
    </row>
    <row r="61" ht="12.75" customHeight="1">
      <c r="B61" s="78">
        <v>9.0</v>
      </c>
      <c r="C61" s="259" t="s">
        <v>334</v>
      </c>
      <c r="D61" s="259"/>
      <c r="E61" s="259"/>
      <c r="F61" s="259"/>
      <c r="G61" s="259"/>
      <c r="H61" s="260" t="s">
        <v>36</v>
      </c>
      <c r="I61" s="260"/>
      <c r="J61" s="343">
        <f>38721/1000</f>
        <v>38.721</v>
      </c>
      <c r="K61" s="343">
        <f>30152/1000</f>
        <v>30.152</v>
      </c>
      <c r="L61" s="343">
        <f>56820/1000</f>
        <v>56.82</v>
      </c>
      <c r="M61" s="343">
        <f>75028/1000</f>
        <v>75.028</v>
      </c>
      <c r="N61" s="343">
        <f>49619/1000</f>
        <v>49.619</v>
      </c>
      <c r="O61" s="343">
        <f>56400/1000</f>
        <v>56.4</v>
      </c>
      <c r="P61" s="257">
        <f t="shared" si="43"/>
        <v>63.41367717</v>
      </c>
      <c r="Q61" s="257">
        <f t="shared" si="44"/>
        <v>73.26974033</v>
      </c>
      <c r="R61" s="257">
        <f t="shared" si="45"/>
        <v>81.32899689</v>
      </c>
      <c r="S61" s="257">
        <f t="shared" si="46"/>
        <v>81.32899689</v>
      </c>
      <c r="T61" s="257">
        <f t="shared" si="47"/>
        <v>83.97617538</v>
      </c>
    </row>
    <row r="62" ht="12.75" customHeight="1">
      <c r="C62" s="196" t="s">
        <v>337</v>
      </c>
      <c r="H62" s="153" t="s">
        <v>36</v>
      </c>
      <c r="I62" s="153"/>
      <c r="J62" s="344">
        <f t="shared" ref="J62:O62" si="48">+SUM(J53:J61)</f>
        <v>77.858</v>
      </c>
      <c r="K62" s="344">
        <f t="shared" si="48"/>
        <v>61.572</v>
      </c>
      <c r="L62" s="344">
        <f t="shared" si="48"/>
        <v>102.994</v>
      </c>
      <c r="M62" s="344">
        <f t="shared" si="48"/>
        <v>129.494</v>
      </c>
      <c r="N62" s="344">
        <f t="shared" si="48"/>
        <v>68.772</v>
      </c>
      <c r="O62" s="344">
        <f t="shared" si="48"/>
        <v>70.752</v>
      </c>
      <c r="P62" s="341">
        <f>P64*'Supuestos '!L14</f>
        <v>90.67541299</v>
      </c>
      <c r="Q62" s="341">
        <f>Q64*'Supuestos '!M14</f>
        <v>104.7686282</v>
      </c>
      <c r="R62" s="341">
        <f>R64*'Supuestos '!N14</f>
        <v>116.292584</v>
      </c>
      <c r="S62" s="341">
        <f>S64*'Supuestos '!O14</f>
        <v>116.292584</v>
      </c>
      <c r="T62" s="341">
        <f>T64*'Supuestos '!P14</f>
        <v>120.0777927</v>
      </c>
    </row>
    <row r="63" ht="12.75" customHeight="1">
      <c r="H63" s="153"/>
      <c r="I63" s="153"/>
    </row>
    <row r="64" ht="12.75" customHeight="1">
      <c r="C64" s="345" t="s">
        <v>338</v>
      </c>
      <c r="D64" s="299"/>
      <c r="E64" s="299"/>
      <c r="F64" s="299"/>
      <c r="G64" s="299"/>
      <c r="H64" s="300" t="s">
        <v>32</v>
      </c>
      <c r="I64" s="300"/>
      <c r="J64" s="346">
        <f>J62/'Supuestos '!G14</f>
        <v>0.1454015078</v>
      </c>
      <c r="K64" s="346">
        <f>K62/'Supuestos '!H14</f>
        <v>0.06568387634</v>
      </c>
      <c r="L64" s="346">
        <f>L62/'Supuestos '!I14</f>
        <v>0.1082704522</v>
      </c>
      <c r="M64" s="346">
        <f>M62/'Supuestos '!J14</f>
        <v>0.1466380398</v>
      </c>
      <c r="N64" s="346">
        <f>N62/'Supuestos '!K14</f>
        <v>0.07159864282</v>
      </c>
      <c r="O64" s="346">
        <f>O62/'Supuestos '!L14</f>
        <v>0.07671464488</v>
      </c>
      <c r="P64" s="347">
        <f t="shared" ref="P64:P65" si="50">AVERAGE(M64:O64)</f>
        <v>0.09831710916</v>
      </c>
      <c r="Q64" s="348">
        <f t="shared" ref="Q64:T64" si="49">+P64</f>
        <v>0.09831710916</v>
      </c>
      <c r="R64" s="348">
        <f t="shared" si="49"/>
        <v>0.09831710916</v>
      </c>
      <c r="S64" s="348">
        <f t="shared" si="49"/>
        <v>0.09831710916</v>
      </c>
      <c r="T64" s="349">
        <f t="shared" si="49"/>
        <v>0.09831710916</v>
      </c>
    </row>
    <row r="65" ht="12.75" customHeight="1">
      <c r="C65" s="350" t="s">
        <v>339</v>
      </c>
      <c r="D65" s="259"/>
      <c r="E65" s="259"/>
      <c r="F65" s="259"/>
      <c r="G65" s="259"/>
      <c r="H65" s="260" t="s">
        <v>32</v>
      </c>
      <c r="I65" s="260"/>
      <c r="J65" s="311">
        <f>J89/'Supuestos '!G14</f>
        <v>0.2118815468</v>
      </c>
      <c r="K65" s="311">
        <f>K89/'Supuestos '!H14</f>
        <v>0.09114688622</v>
      </c>
      <c r="L65" s="311">
        <f>L89/'Supuestos '!I14</f>
        <v>0.1016193157</v>
      </c>
      <c r="M65" s="311">
        <f>M89/'Supuestos '!J14</f>
        <v>0.1262085459</v>
      </c>
      <c r="N65" s="311">
        <f>N89/'Supuestos '!K14</f>
        <v>0.1137112046</v>
      </c>
      <c r="O65" s="311">
        <f>O89/'Supuestos '!L14</f>
        <v>0.1212599264</v>
      </c>
      <c r="P65" s="351">
        <f t="shared" si="50"/>
        <v>0.1203932257</v>
      </c>
      <c r="Q65" s="352">
        <f t="shared" ref="Q65:T65" si="51">+P65</f>
        <v>0.1203932257</v>
      </c>
      <c r="R65" s="352">
        <f t="shared" si="51"/>
        <v>0.1203932257</v>
      </c>
      <c r="S65" s="352">
        <f t="shared" si="51"/>
        <v>0.1203932257</v>
      </c>
      <c r="T65" s="353">
        <f t="shared" si="51"/>
        <v>0.1203932257</v>
      </c>
    </row>
    <row r="66" ht="12.75" customHeight="1"/>
    <row r="67" ht="12.75" customHeight="1">
      <c r="C67" s="227" t="s">
        <v>340</v>
      </c>
    </row>
    <row r="68" ht="12.75" customHeight="1">
      <c r="B68" s="78">
        <v>1.0</v>
      </c>
      <c r="C68" s="154" t="s">
        <v>326</v>
      </c>
      <c r="H68" s="153" t="s">
        <v>36</v>
      </c>
      <c r="I68" s="153"/>
      <c r="J68" s="354">
        <v>0.0</v>
      </c>
      <c r="K68" s="354">
        <v>0.0</v>
      </c>
      <c r="L68" s="354">
        <v>0.0</v>
      </c>
      <c r="M68" s="354">
        <v>0.0</v>
      </c>
      <c r="N68" s="354">
        <v>0.0</v>
      </c>
      <c r="O68" s="354">
        <v>0.0</v>
      </c>
      <c r="P68" s="288">
        <f t="shared" ref="P68:T68" si="52">O68+P80</f>
        <v>0</v>
      </c>
      <c r="Q68" s="288">
        <f t="shared" si="52"/>
        <v>0</v>
      </c>
      <c r="R68" s="288">
        <f t="shared" si="52"/>
        <v>0</v>
      </c>
      <c r="S68" s="288">
        <f t="shared" si="52"/>
        <v>0</v>
      </c>
      <c r="T68" s="288">
        <f t="shared" si="52"/>
        <v>0</v>
      </c>
    </row>
    <row r="69" ht="12.75" customHeight="1">
      <c r="B69" s="78">
        <v>2.0</v>
      </c>
      <c r="C69" s="154" t="s">
        <v>327</v>
      </c>
      <c r="H69" s="153" t="s">
        <v>36</v>
      </c>
      <c r="I69" s="153"/>
      <c r="J69" s="267">
        <f>289689/1000</f>
        <v>289.689</v>
      </c>
      <c r="K69" s="267">
        <f>428880/1000</f>
        <v>428.88</v>
      </c>
      <c r="L69" s="267">
        <f>491692/1000</f>
        <v>491.692</v>
      </c>
      <c r="M69" s="267">
        <f>564168/1000</f>
        <v>564.168</v>
      </c>
      <c r="N69" s="267">
        <f>686093/1000</f>
        <v>686.093</v>
      </c>
      <c r="O69" s="267">
        <f>741372/1000</f>
        <v>741.372</v>
      </c>
      <c r="P69" s="288">
        <f t="shared" ref="P69:T69" si="53">O69+P81</f>
        <v>741.4871723</v>
      </c>
      <c r="Q69" s="288">
        <f t="shared" si="53"/>
        <v>741.8505897</v>
      </c>
      <c r="R69" s="288">
        <f t="shared" si="53"/>
        <v>742.3617174</v>
      </c>
      <c r="S69" s="288">
        <f t="shared" si="53"/>
        <v>743.0205552</v>
      </c>
      <c r="T69" s="288">
        <f t="shared" si="53"/>
        <v>743.831911</v>
      </c>
    </row>
    <row r="70" ht="12.75" customHeight="1">
      <c r="B70" s="78">
        <v>3.0</v>
      </c>
      <c r="C70" s="154" t="s">
        <v>328</v>
      </c>
      <c r="H70" s="153" t="s">
        <v>36</v>
      </c>
      <c r="I70" s="153"/>
      <c r="J70" s="267">
        <f>11773/1000</f>
        <v>11.773</v>
      </c>
      <c r="K70" s="267">
        <f t="shared" ref="K70:L70" si="54">22281/1000</f>
        <v>22.281</v>
      </c>
      <c r="L70" s="267">
        <f t="shared" si="54"/>
        <v>22.281</v>
      </c>
      <c r="M70" s="267">
        <f>259/1000</f>
        <v>0.259</v>
      </c>
      <c r="N70" s="267">
        <f t="shared" ref="N70:O70" si="55">680/1000</f>
        <v>0.68</v>
      </c>
      <c r="O70" s="267">
        <f t="shared" si="55"/>
        <v>0.68</v>
      </c>
      <c r="P70" s="288">
        <f t="shared" ref="P70:T70" si="56">O70+P82</f>
        <v>0.68</v>
      </c>
      <c r="Q70" s="288">
        <f t="shared" si="56"/>
        <v>0.68</v>
      </c>
      <c r="R70" s="288">
        <f t="shared" si="56"/>
        <v>0.68</v>
      </c>
      <c r="S70" s="288">
        <f t="shared" si="56"/>
        <v>0.68</v>
      </c>
      <c r="T70" s="288">
        <f t="shared" si="56"/>
        <v>0.68</v>
      </c>
    </row>
    <row r="71" ht="12.75" customHeight="1">
      <c r="B71" s="78">
        <v>4.0</v>
      </c>
      <c r="C71" s="154" t="s">
        <v>329</v>
      </c>
      <c r="H71" s="153" t="s">
        <v>36</v>
      </c>
      <c r="I71" s="153"/>
      <c r="J71" s="267">
        <f>137415/1000</f>
        <v>137.415</v>
      </c>
      <c r="K71" s="267">
        <f>249647/1000</f>
        <v>249.647</v>
      </c>
      <c r="L71" s="267">
        <f>248315/1000</f>
        <v>248.315</v>
      </c>
      <c r="M71" s="267">
        <f>140060/1000</f>
        <v>140.06</v>
      </c>
      <c r="N71" s="267">
        <f>147157/1000</f>
        <v>147.157</v>
      </c>
      <c r="O71" s="267">
        <f>149201/1000</f>
        <v>149.201</v>
      </c>
      <c r="P71" s="288">
        <f t="shared" ref="P71:T71" si="57">O71+P83</f>
        <v>149.4167734</v>
      </c>
      <c r="Q71" s="288">
        <f t="shared" si="57"/>
        <v>150.0976302</v>
      </c>
      <c r="R71" s="288">
        <f t="shared" si="57"/>
        <v>151.0552197</v>
      </c>
      <c r="S71" s="288">
        <f t="shared" si="57"/>
        <v>152.2895418</v>
      </c>
      <c r="T71" s="288">
        <f t="shared" si="57"/>
        <v>153.809604</v>
      </c>
    </row>
    <row r="72" ht="12.75" customHeight="1">
      <c r="B72" s="78">
        <v>5.0</v>
      </c>
      <c r="C72" s="154" t="s">
        <v>330</v>
      </c>
      <c r="H72" s="153" t="s">
        <v>36</v>
      </c>
      <c r="I72" s="153"/>
      <c r="J72" s="267">
        <f>3587/1000</f>
        <v>3.587</v>
      </c>
      <c r="K72" s="267">
        <f>10724/1000</f>
        <v>10.724</v>
      </c>
      <c r="L72" s="267">
        <f>10920/1000</f>
        <v>10.92</v>
      </c>
      <c r="M72" s="267">
        <f>2801/1000</f>
        <v>2.801</v>
      </c>
      <c r="N72" s="267">
        <f>2811/1000</f>
        <v>2.811</v>
      </c>
      <c r="O72" s="267">
        <f>2586/1000</f>
        <v>2.586</v>
      </c>
      <c r="P72" s="288">
        <f t="shared" ref="P72:T72" si="58">O72+P84</f>
        <v>2.587238756</v>
      </c>
      <c r="Q72" s="288">
        <f t="shared" si="58"/>
        <v>2.591147556</v>
      </c>
      <c r="R72" s="288">
        <f t="shared" si="58"/>
        <v>2.596645078</v>
      </c>
      <c r="S72" s="288">
        <f t="shared" si="58"/>
        <v>2.603731323</v>
      </c>
      <c r="T72" s="288">
        <f t="shared" si="58"/>
        <v>2.612458003</v>
      </c>
    </row>
    <row r="73" ht="12.75" customHeight="1">
      <c r="B73" s="78">
        <v>6.0</v>
      </c>
      <c r="C73" s="154" t="s">
        <v>331</v>
      </c>
      <c r="H73" s="153" t="s">
        <v>36</v>
      </c>
      <c r="I73" s="153"/>
      <c r="J73" s="267">
        <f>9086/1000</f>
        <v>9.086</v>
      </c>
      <c r="K73" s="267">
        <f>11864/1000</f>
        <v>11.864</v>
      </c>
      <c r="L73" s="267">
        <f>12913/1000</f>
        <v>12.913</v>
      </c>
      <c r="M73" s="267">
        <f>7807/1000</f>
        <v>7.807</v>
      </c>
      <c r="N73" s="267">
        <f>7108/1000</f>
        <v>7.108</v>
      </c>
      <c r="O73" s="267">
        <f>7478/1000</f>
        <v>7.478</v>
      </c>
      <c r="P73" s="288">
        <f t="shared" ref="P73:T73" si="59">O73+P85</f>
        <v>7.482239182</v>
      </c>
      <c r="Q73" s="288">
        <f t="shared" si="59"/>
        <v>7.495615603</v>
      </c>
      <c r="R73" s="288">
        <f t="shared" si="59"/>
        <v>7.514428839</v>
      </c>
      <c r="S73" s="288">
        <f t="shared" si="59"/>
        <v>7.53867889</v>
      </c>
      <c r="T73" s="288">
        <f t="shared" si="59"/>
        <v>7.567168123</v>
      </c>
    </row>
    <row r="74" ht="12.75" customHeight="1">
      <c r="B74" s="78">
        <v>7.0</v>
      </c>
      <c r="C74" s="154" t="s">
        <v>332</v>
      </c>
      <c r="H74" s="153" t="s">
        <v>36</v>
      </c>
      <c r="I74" s="153"/>
      <c r="J74" s="267">
        <f>259841/1000</f>
        <v>259.841</v>
      </c>
      <c r="K74" s="267">
        <f>364208/1000</f>
        <v>364.208</v>
      </c>
      <c r="L74" s="267">
        <f>386980/1000</f>
        <v>386.98</v>
      </c>
      <c r="M74" s="267">
        <f>288020/1000</f>
        <v>288.02</v>
      </c>
      <c r="N74" s="267">
        <f>330330/1000</f>
        <v>330.33</v>
      </c>
      <c r="O74" s="267">
        <f>351243/1000</f>
        <v>351.243</v>
      </c>
      <c r="P74" s="288">
        <f t="shared" ref="P74:T74" si="60">O74+P86</f>
        <v>351.6373374</v>
      </c>
      <c r="Q74" s="288">
        <f t="shared" si="60"/>
        <v>352.8816392</v>
      </c>
      <c r="R74" s="288">
        <f t="shared" si="60"/>
        <v>354.6316847</v>
      </c>
      <c r="S74" s="288">
        <f t="shared" si="60"/>
        <v>356.8874738</v>
      </c>
      <c r="T74" s="288">
        <f t="shared" si="60"/>
        <v>359.665468</v>
      </c>
    </row>
    <row r="75" ht="12.75" customHeight="1">
      <c r="B75" s="78">
        <v>8.0</v>
      </c>
      <c r="C75" s="154" t="s">
        <v>333</v>
      </c>
      <c r="H75" s="153" t="s">
        <v>36</v>
      </c>
      <c r="I75" s="153"/>
      <c r="J75" s="267">
        <v>0.0</v>
      </c>
      <c r="K75" s="267">
        <v>0.0</v>
      </c>
      <c r="L75" s="267">
        <v>0.0</v>
      </c>
      <c r="M75" s="267">
        <v>0.0</v>
      </c>
      <c r="N75" s="267">
        <v>0.0</v>
      </c>
      <c r="O75" s="267">
        <v>0.0</v>
      </c>
      <c r="P75" s="288">
        <f t="shared" ref="P75:T75" si="61">O75+P87</f>
        <v>0</v>
      </c>
      <c r="Q75" s="288">
        <f t="shared" si="61"/>
        <v>0</v>
      </c>
      <c r="R75" s="288">
        <f t="shared" si="61"/>
        <v>0</v>
      </c>
      <c r="S75" s="288">
        <f t="shared" si="61"/>
        <v>0</v>
      </c>
      <c r="T75" s="288">
        <f t="shared" si="61"/>
        <v>0</v>
      </c>
    </row>
    <row r="76" ht="12.75" customHeight="1">
      <c r="B76" s="78">
        <v>9.0</v>
      </c>
      <c r="C76" s="259" t="s">
        <v>334</v>
      </c>
      <c r="D76" s="259"/>
      <c r="E76" s="259"/>
      <c r="F76" s="259"/>
      <c r="G76" s="259"/>
      <c r="H76" s="260" t="s">
        <v>36</v>
      </c>
      <c r="I76" s="260"/>
      <c r="J76" s="268">
        <v>0.0</v>
      </c>
      <c r="K76" s="268">
        <v>0.0</v>
      </c>
      <c r="L76" s="268">
        <v>0.0</v>
      </c>
      <c r="M76" s="268">
        <v>0.0</v>
      </c>
      <c r="N76" s="268">
        <v>0.0</v>
      </c>
      <c r="O76" s="268">
        <v>0.0</v>
      </c>
      <c r="P76" s="334">
        <f t="shared" ref="P76:T76" si="62">O76+P88</f>
        <v>0</v>
      </c>
      <c r="Q76" s="334">
        <f t="shared" si="62"/>
        <v>0</v>
      </c>
      <c r="R76" s="334">
        <f t="shared" si="62"/>
        <v>0</v>
      </c>
      <c r="S76" s="334">
        <f t="shared" si="62"/>
        <v>0</v>
      </c>
      <c r="T76" s="334">
        <f t="shared" si="62"/>
        <v>0</v>
      </c>
    </row>
    <row r="77" ht="12.75" customHeight="1">
      <c r="C77" s="196" t="s">
        <v>341</v>
      </c>
      <c r="H77" s="153" t="s">
        <v>36</v>
      </c>
      <c r="I77" s="153"/>
      <c r="J77" s="194">
        <f t="shared" ref="J77:T77" si="63">+SUM(J68:J76)</f>
        <v>711.391</v>
      </c>
      <c r="K77" s="194">
        <f t="shared" si="63"/>
        <v>1087.604</v>
      </c>
      <c r="L77" s="194">
        <f t="shared" si="63"/>
        <v>1173.101</v>
      </c>
      <c r="M77" s="194">
        <f t="shared" si="63"/>
        <v>1003.115</v>
      </c>
      <c r="N77" s="194">
        <f t="shared" si="63"/>
        <v>1174.179</v>
      </c>
      <c r="O77" s="194">
        <f t="shared" si="63"/>
        <v>1252.56</v>
      </c>
      <c r="P77" s="355">
        <f t="shared" si="63"/>
        <v>1253.290761</v>
      </c>
      <c r="Q77" s="355">
        <f t="shared" si="63"/>
        <v>1255.596622</v>
      </c>
      <c r="R77" s="355">
        <f t="shared" si="63"/>
        <v>1258.839696</v>
      </c>
      <c r="S77" s="355">
        <f t="shared" si="63"/>
        <v>1263.019981</v>
      </c>
      <c r="T77" s="355">
        <f t="shared" si="63"/>
        <v>1268.166609</v>
      </c>
    </row>
    <row r="78" ht="12.75" customHeight="1">
      <c r="H78" s="153"/>
      <c r="I78" s="153"/>
    </row>
    <row r="79" ht="12.75" customHeight="1">
      <c r="C79" s="356" t="s">
        <v>342</v>
      </c>
      <c r="H79" s="153"/>
      <c r="I79" s="153"/>
    </row>
    <row r="80" ht="12.75" customHeight="1">
      <c r="B80" s="78">
        <v>1.0</v>
      </c>
      <c r="C80" s="78" t="s">
        <v>326</v>
      </c>
      <c r="H80" s="153" t="s">
        <v>36</v>
      </c>
      <c r="I80" s="153"/>
      <c r="J80" s="267">
        <v>0.0</v>
      </c>
      <c r="K80" s="267">
        <v>0.0</v>
      </c>
      <c r="L80" s="267">
        <v>0.0</v>
      </c>
      <c r="M80" s="267">
        <v>0.0</v>
      </c>
      <c r="N80" s="267">
        <v>0.0</v>
      </c>
      <c r="O80" s="267">
        <v>0.0</v>
      </c>
      <c r="P80" s="257">
        <f t="shared" ref="P80:T80" si="64">P122</f>
        <v>0</v>
      </c>
      <c r="Q80" s="257">
        <f t="shared" si="64"/>
        <v>0</v>
      </c>
      <c r="R80" s="257">
        <f t="shared" si="64"/>
        <v>0</v>
      </c>
      <c r="S80" s="257">
        <f t="shared" si="64"/>
        <v>0</v>
      </c>
      <c r="T80" s="257">
        <f t="shared" si="64"/>
        <v>0</v>
      </c>
    </row>
    <row r="81" ht="12.75" customHeight="1">
      <c r="B81" s="78">
        <v>2.0</v>
      </c>
      <c r="C81" s="154" t="s">
        <v>327</v>
      </c>
      <c r="H81" s="153" t="s">
        <v>36</v>
      </c>
      <c r="I81" s="153"/>
      <c r="J81" s="267">
        <f>80764/1000</f>
        <v>80.764</v>
      </c>
      <c r="K81" s="267">
        <f>58701/1000</f>
        <v>58.701</v>
      </c>
      <c r="L81" s="267">
        <f>62812/1000</f>
        <v>62.812</v>
      </c>
      <c r="M81" s="267">
        <f>72476/1000</f>
        <v>72.476</v>
      </c>
      <c r="N81" s="267">
        <f>70582/1000</f>
        <v>70.582</v>
      </c>
      <c r="O81" s="267">
        <f>76564/1000</f>
        <v>76.564</v>
      </c>
      <c r="P81" s="257">
        <f t="shared" ref="P81:T81" si="65">P150</f>
        <v>0.1151722757</v>
      </c>
      <c r="Q81" s="257">
        <f t="shared" si="65"/>
        <v>0.3634174643</v>
      </c>
      <c r="R81" s="257">
        <f t="shared" si="65"/>
        <v>0.5111276441</v>
      </c>
      <c r="S81" s="257">
        <f t="shared" si="65"/>
        <v>0.6588378238</v>
      </c>
      <c r="T81" s="257">
        <f t="shared" si="65"/>
        <v>0.811355824</v>
      </c>
    </row>
    <row r="82" ht="12.75" customHeight="1">
      <c r="B82" s="78">
        <v>3.0</v>
      </c>
      <c r="C82" s="154" t="s">
        <v>328</v>
      </c>
      <c r="H82" s="153" t="s">
        <v>36</v>
      </c>
      <c r="I82" s="153"/>
      <c r="J82" s="267">
        <f>4/1000</f>
        <v>0.004</v>
      </c>
      <c r="K82" s="267">
        <v>0.0</v>
      </c>
      <c r="L82" s="267">
        <v>0.0</v>
      </c>
      <c r="M82" s="267">
        <v>0.0</v>
      </c>
      <c r="N82" s="267">
        <v>0.0</v>
      </c>
      <c r="O82" s="267">
        <v>0.0</v>
      </c>
      <c r="P82" s="257">
        <f t="shared" ref="P82:T82" si="66">P178</f>
        <v>0</v>
      </c>
      <c r="Q82" s="257">
        <f t="shared" si="66"/>
        <v>0</v>
      </c>
      <c r="R82" s="257">
        <f t="shared" si="66"/>
        <v>0</v>
      </c>
      <c r="S82" s="257">
        <f t="shared" si="66"/>
        <v>0</v>
      </c>
      <c r="T82" s="257">
        <f t="shared" si="66"/>
        <v>0</v>
      </c>
    </row>
    <row r="83" ht="12.75" customHeight="1">
      <c r="B83" s="78">
        <v>4.0</v>
      </c>
      <c r="C83" s="154" t="s">
        <v>329</v>
      </c>
      <c r="H83" s="153" t="s">
        <v>36</v>
      </c>
      <c r="I83" s="153"/>
      <c r="J83" s="267">
        <f>8130/1000</f>
        <v>8.13</v>
      </c>
      <c r="K83" s="267">
        <f>7469/1000</f>
        <v>7.469</v>
      </c>
      <c r="L83" s="267">
        <f>9641/1000</f>
        <v>9.641</v>
      </c>
      <c r="M83" s="267">
        <f>13414/1000</f>
        <v>13.414</v>
      </c>
      <c r="N83" s="267">
        <f>13730/1000</f>
        <v>13.73</v>
      </c>
      <c r="O83" s="267">
        <f>13170/1000</f>
        <v>13.17</v>
      </c>
      <c r="P83" s="257">
        <f t="shared" ref="P83:T83" si="67">P206</f>
        <v>0.2157734165</v>
      </c>
      <c r="Q83" s="257">
        <f t="shared" si="67"/>
        <v>0.6808568069</v>
      </c>
      <c r="R83" s="257">
        <f t="shared" si="67"/>
        <v>0.9575894662</v>
      </c>
      <c r="S83" s="257">
        <f t="shared" si="67"/>
        <v>1.234322126</v>
      </c>
      <c r="T83" s="257">
        <f t="shared" si="67"/>
        <v>1.520062159</v>
      </c>
    </row>
    <row r="84" ht="12.75" customHeight="1">
      <c r="B84" s="78">
        <v>5.0</v>
      </c>
      <c r="C84" s="154" t="s">
        <v>330</v>
      </c>
      <c r="H84" s="153" t="s">
        <v>36</v>
      </c>
      <c r="I84" s="153"/>
      <c r="J84" s="267">
        <f>254/1000</f>
        <v>0.254</v>
      </c>
      <c r="K84" s="267">
        <f>215/1000</f>
        <v>0.215</v>
      </c>
      <c r="L84" s="267">
        <f>196/1000</f>
        <v>0.196</v>
      </c>
      <c r="M84" s="267">
        <f>211/1000</f>
        <v>0.211</v>
      </c>
      <c r="N84" s="267">
        <f>188/1000</f>
        <v>0.188</v>
      </c>
      <c r="O84" s="267">
        <f>152/1000</f>
        <v>0.152</v>
      </c>
      <c r="P84" s="257">
        <f t="shared" ref="P84:T84" si="68">P235</f>
        <v>0.001238755522</v>
      </c>
      <c r="Q84" s="257">
        <f t="shared" si="68"/>
        <v>0.003908799994</v>
      </c>
      <c r="R84" s="257">
        <f t="shared" si="68"/>
        <v>0.005497522624</v>
      </c>
      <c r="S84" s="257">
        <f t="shared" si="68"/>
        <v>0.007086245255</v>
      </c>
      <c r="T84" s="257">
        <f t="shared" si="68"/>
        <v>0.008726679237</v>
      </c>
    </row>
    <row r="85" ht="12.75" customHeight="1">
      <c r="B85" s="78">
        <v>6.0</v>
      </c>
      <c r="C85" s="154" t="s">
        <v>331</v>
      </c>
      <c r="H85" s="153" t="s">
        <v>36</v>
      </c>
      <c r="I85" s="153"/>
      <c r="J85" s="267">
        <f>951/1000</f>
        <v>0.951</v>
      </c>
      <c r="K85" s="267">
        <f>953/1000</f>
        <v>0.953</v>
      </c>
      <c r="L85" s="267">
        <f>1052/1000</f>
        <v>1.052</v>
      </c>
      <c r="M85" s="267">
        <f>1031/1000</f>
        <v>1.031</v>
      </c>
      <c r="N85" s="267">
        <f>532/1000</f>
        <v>0.532</v>
      </c>
      <c r="O85" s="267">
        <f>421/1000</f>
        <v>0.421</v>
      </c>
      <c r="P85" s="257">
        <f t="shared" ref="P85:T85" si="69">P264</f>
        <v>0.004239182169</v>
      </c>
      <c r="Q85" s="257">
        <f t="shared" si="69"/>
        <v>0.01337642089</v>
      </c>
      <c r="R85" s="257">
        <f t="shared" si="69"/>
        <v>0.01881323592</v>
      </c>
      <c r="S85" s="257">
        <f t="shared" si="69"/>
        <v>0.02425005096</v>
      </c>
      <c r="T85" s="257">
        <f t="shared" si="69"/>
        <v>0.02848923313</v>
      </c>
    </row>
    <row r="86" ht="12.75" customHeight="1">
      <c r="B86" s="78">
        <v>7.0</v>
      </c>
      <c r="C86" s="154" t="s">
        <v>332</v>
      </c>
      <c r="H86" s="153" t="s">
        <v>36</v>
      </c>
      <c r="I86" s="153"/>
      <c r="J86" s="267">
        <f>23353/1000</f>
        <v>23.353</v>
      </c>
      <c r="K86" s="267">
        <f>18103/1000</f>
        <v>18.103</v>
      </c>
      <c r="L86" s="267">
        <f>22966/1000</f>
        <v>22.966</v>
      </c>
      <c r="M86" s="267">
        <f>24321/1000</f>
        <v>24.321</v>
      </c>
      <c r="N86" s="267">
        <f>24190/1000</f>
        <v>24.19</v>
      </c>
      <c r="O86" s="267">
        <f>21528/1000</f>
        <v>21.528</v>
      </c>
      <c r="P86" s="257">
        <f t="shared" ref="P86:T86" si="70">P293</f>
        <v>0.3943373517</v>
      </c>
      <c r="Q86" s="257">
        <f t="shared" si="70"/>
        <v>1.24430189</v>
      </c>
      <c r="R86" s="257">
        <f t="shared" si="70"/>
        <v>1.750045488</v>
      </c>
      <c r="S86" s="257">
        <f t="shared" si="70"/>
        <v>2.255789086</v>
      </c>
      <c r="T86" s="257">
        <f t="shared" si="70"/>
        <v>2.777994138</v>
      </c>
    </row>
    <row r="87" ht="12.75" customHeight="1">
      <c r="B87" s="78">
        <v>8.0</v>
      </c>
      <c r="C87" s="154" t="s">
        <v>333</v>
      </c>
      <c r="D87" s="154"/>
      <c r="E87" s="154"/>
      <c r="F87" s="154"/>
      <c r="G87" s="154"/>
      <c r="H87" s="153" t="s">
        <v>36</v>
      </c>
      <c r="I87" s="153"/>
      <c r="J87" s="267">
        <v>0.0</v>
      </c>
      <c r="K87" s="267">
        <v>0.0</v>
      </c>
      <c r="L87" s="267">
        <v>0.0</v>
      </c>
      <c r="M87" s="267">
        <v>0.0</v>
      </c>
      <c r="N87" s="267">
        <v>0.0</v>
      </c>
      <c r="O87" s="267">
        <v>0.0</v>
      </c>
      <c r="P87" s="257">
        <f t="shared" ref="P87:T87" si="71">P322</f>
        <v>0</v>
      </c>
      <c r="Q87" s="257">
        <f t="shared" si="71"/>
        <v>0</v>
      </c>
      <c r="R87" s="257">
        <f t="shared" si="71"/>
        <v>0</v>
      </c>
      <c r="S87" s="257">
        <f t="shared" si="71"/>
        <v>0</v>
      </c>
      <c r="T87" s="257">
        <f t="shared" si="71"/>
        <v>0</v>
      </c>
    </row>
    <row r="88" ht="12.75" customHeight="1">
      <c r="B88" s="78">
        <v>9.0</v>
      </c>
      <c r="C88" s="259" t="s">
        <v>334</v>
      </c>
      <c r="D88" s="259"/>
      <c r="E88" s="259"/>
      <c r="F88" s="259"/>
      <c r="G88" s="259"/>
      <c r="H88" s="260" t="s">
        <v>36</v>
      </c>
      <c r="I88" s="260"/>
      <c r="J88" s="268">
        <v>0.0</v>
      </c>
      <c r="K88" s="268">
        <v>0.0</v>
      </c>
      <c r="L88" s="268">
        <v>0.0</v>
      </c>
      <c r="M88" s="268">
        <v>0.0</v>
      </c>
      <c r="N88" s="268">
        <v>0.0</v>
      </c>
      <c r="O88" s="268">
        <v>0.0</v>
      </c>
      <c r="P88" s="262">
        <f t="shared" ref="P88:T88" si="72">P351</f>
        <v>0</v>
      </c>
      <c r="Q88" s="262">
        <f t="shared" si="72"/>
        <v>0</v>
      </c>
      <c r="R88" s="262">
        <f t="shared" si="72"/>
        <v>0</v>
      </c>
      <c r="S88" s="262">
        <f t="shared" si="72"/>
        <v>0</v>
      </c>
      <c r="T88" s="262">
        <f t="shared" si="72"/>
        <v>0</v>
      </c>
    </row>
    <row r="89" ht="12.75" customHeight="1">
      <c r="C89" s="196" t="s">
        <v>343</v>
      </c>
      <c r="H89" s="153" t="s">
        <v>36</v>
      </c>
      <c r="I89" s="153"/>
      <c r="J89" s="194">
        <f t="shared" ref="J89:T89" si="73">+SUM(J80:J88)</f>
        <v>113.456</v>
      </c>
      <c r="K89" s="194">
        <f t="shared" si="73"/>
        <v>85.441</v>
      </c>
      <c r="L89" s="194">
        <f t="shared" si="73"/>
        <v>96.667</v>
      </c>
      <c r="M89" s="194">
        <f t="shared" si="73"/>
        <v>111.453</v>
      </c>
      <c r="N89" s="194">
        <f t="shared" si="73"/>
        <v>109.222</v>
      </c>
      <c r="O89" s="194">
        <f t="shared" si="73"/>
        <v>111.835</v>
      </c>
      <c r="P89" s="269">
        <f t="shared" si="73"/>
        <v>0.7307609816</v>
      </c>
      <c r="Q89" s="269">
        <f t="shared" si="73"/>
        <v>2.305861383</v>
      </c>
      <c r="R89" s="269">
        <f t="shared" si="73"/>
        <v>3.243073357</v>
      </c>
      <c r="S89" s="269">
        <f t="shared" si="73"/>
        <v>4.180285332</v>
      </c>
      <c r="T89" s="269">
        <f t="shared" si="73"/>
        <v>5.146628034</v>
      </c>
    </row>
    <row r="90" ht="12.75" customHeight="1">
      <c r="H90" s="153"/>
      <c r="I90" s="153"/>
    </row>
    <row r="91" ht="12.75" customHeight="1">
      <c r="C91" s="227" t="s">
        <v>304</v>
      </c>
      <c r="D91" s="357"/>
      <c r="H91" s="153"/>
      <c r="I91" s="153"/>
    </row>
    <row r="92" ht="12.75" customHeight="1">
      <c r="B92" s="78">
        <v>1.0</v>
      </c>
      <c r="C92" s="78" t="s">
        <v>326</v>
      </c>
      <c r="H92" s="153" t="s">
        <v>36</v>
      </c>
      <c r="I92" s="153"/>
      <c r="J92" s="342">
        <v>0.0</v>
      </c>
      <c r="K92" s="342">
        <v>0.0</v>
      </c>
      <c r="L92" s="342">
        <v>0.0</v>
      </c>
      <c r="M92" s="358">
        <v>0.0</v>
      </c>
      <c r="N92" s="342">
        <v>0.0</v>
      </c>
      <c r="O92" s="342">
        <v>0.0</v>
      </c>
      <c r="P92" s="288">
        <f t="shared" ref="P92:T92" si="74">+O92</f>
        <v>0</v>
      </c>
      <c r="Q92" s="288">
        <f t="shared" si="74"/>
        <v>0</v>
      </c>
      <c r="R92" s="288">
        <f t="shared" si="74"/>
        <v>0</v>
      </c>
      <c r="S92" s="288">
        <f t="shared" si="74"/>
        <v>0</v>
      </c>
      <c r="T92" s="288">
        <f t="shared" si="74"/>
        <v>0</v>
      </c>
    </row>
    <row r="93" ht="12.75" customHeight="1">
      <c r="B93" s="78">
        <v>2.0</v>
      </c>
      <c r="C93" s="154" t="s">
        <v>327</v>
      </c>
      <c r="H93" s="153" t="s">
        <v>36</v>
      </c>
      <c r="I93" s="153"/>
      <c r="J93" s="342">
        <f>+-19613/1000</f>
        <v>-19.613</v>
      </c>
      <c r="K93" s="342">
        <f>+-8020/1000</f>
        <v>-8.02</v>
      </c>
      <c r="L93" s="342">
        <v>0.0</v>
      </c>
      <c r="M93" s="342">
        <f>58455/1000</f>
        <v>58.455</v>
      </c>
      <c r="N93" s="342">
        <f>(-25058+33634)/1000</f>
        <v>8.576</v>
      </c>
      <c r="O93" s="342">
        <v>0.0</v>
      </c>
      <c r="P93" s="288">
        <f t="shared" ref="P93:T93" si="75">+O93</f>
        <v>0</v>
      </c>
      <c r="Q93" s="288">
        <f t="shared" si="75"/>
        <v>0</v>
      </c>
      <c r="R93" s="288">
        <f t="shared" si="75"/>
        <v>0</v>
      </c>
      <c r="S93" s="288">
        <f t="shared" si="75"/>
        <v>0</v>
      </c>
      <c r="T93" s="288">
        <f t="shared" si="75"/>
        <v>0</v>
      </c>
    </row>
    <row r="94" ht="12.75" customHeight="1">
      <c r="B94" s="78">
        <v>3.0</v>
      </c>
      <c r="C94" s="154" t="s">
        <v>328</v>
      </c>
      <c r="H94" s="153" t="s">
        <v>36</v>
      </c>
      <c r="I94" s="153"/>
      <c r="J94" s="342">
        <v>0.0</v>
      </c>
      <c r="K94" s="342">
        <v>0.0</v>
      </c>
      <c r="L94" s="342">
        <v>0.0</v>
      </c>
      <c r="M94" s="342">
        <v>0.0</v>
      </c>
      <c r="N94" s="342">
        <v>0.0</v>
      </c>
      <c r="O94" s="342">
        <v>0.0</v>
      </c>
      <c r="P94" s="288">
        <f t="shared" ref="P94:T94" si="76">+O94</f>
        <v>0</v>
      </c>
      <c r="Q94" s="288">
        <f t="shared" si="76"/>
        <v>0</v>
      </c>
      <c r="R94" s="288">
        <f t="shared" si="76"/>
        <v>0</v>
      </c>
      <c r="S94" s="288">
        <f t="shared" si="76"/>
        <v>0</v>
      </c>
      <c r="T94" s="288">
        <f t="shared" si="76"/>
        <v>0</v>
      </c>
    </row>
    <row r="95" ht="12.75" customHeight="1">
      <c r="B95" s="78">
        <v>4.0</v>
      </c>
      <c r="C95" s="154" t="s">
        <v>329</v>
      </c>
      <c r="H95" s="153" t="s">
        <v>36</v>
      </c>
      <c r="I95" s="153"/>
      <c r="J95" s="342">
        <v>0.0</v>
      </c>
      <c r="K95" s="342">
        <v>0.0</v>
      </c>
      <c r="L95" s="342">
        <v>0.0</v>
      </c>
      <c r="M95" s="342">
        <f>-143/1000</f>
        <v>-0.143</v>
      </c>
      <c r="N95" s="342">
        <v>0.0</v>
      </c>
      <c r="O95" s="342">
        <v>0.0</v>
      </c>
      <c r="P95" s="288">
        <f t="shared" ref="P95:T95" si="77">+O95</f>
        <v>0</v>
      </c>
      <c r="Q95" s="288">
        <f t="shared" si="77"/>
        <v>0</v>
      </c>
      <c r="R95" s="288">
        <f t="shared" si="77"/>
        <v>0</v>
      </c>
      <c r="S95" s="288">
        <f t="shared" si="77"/>
        <v>0</v>
      </c>
      <c r="T95" s="288">
        <f t="shared" si="77"/>
        <v>0</v>
      </c>
    </row>
    <row r="96" ht="12.75" customHeight="1">
      <c r="B96" s="78">
        <v>5.0</v>
      </c>
      <c r="C96" s="154" t="s">
        <v>330</v>
      </c>
      <c r="H96" s="153" t="s">
        <v>36</v>
      </c>
      <c r="I96" s="153"/>
      <c r="J96" s="342">
        <v>0.0</v>
      </c>
      <c r="K96" s="342">
        <v>0.0</v>
      </c>
      <c r="L96" s="342">
        <v>0.0</v>
      </c>
      <c r="M96" s="342">
        <v>0.0</v>
      </c>
      <c r="N96" s="342">
        <v>0.0</v>
      </c>
      <c r="O96" s="342">
        <v>0.0</v>
      </c>
      <c r="P96" s="288">
        <f t="shared" ref="P96:T96" si="78">+O96</f>
        <v>0</v>
      </c>
      <c r="Q96" s="288">
        <f t="shared" si="78"/>
        <v>0</v>
      </c>
      <c r="R96" s="288">
        <f t="shared" si="78"/>
        <v>0</v>
      </c>
      <c r="S96" s="288">
        <f t="shared" si="78"/>
        <v>0</v>
      </c>
      <c r="T96" s="288">
        <f t="shared" si="78"/>
        <v>0</v>
      </c>
    </row>
    <row r="97" ht="12.75" customHeight="1">
      <c r="B97" s="78">
        <v>6.0</v>
      </c>
      <c r="C97" s="154" t="s">
        <v>331</v>
      </c>
      <c r="H97" s="153" t="s">
        <v>36</v>
      </c>
      <c r="I97" s="153"/>
      <c r="J97" s="342">
        <v>0.0</v>
      </c>
      <c r="K97" s="342">
        <f>+-20/1000</f>
        <v>-0.02</v>
      </c>
      <c r="L97" s="342">
        <f>+-59/1000</f>
        <v>-0.059</v>
      </c>
      <c r="M97" s="342">
        <v>0.0</v>
      </c>
      <c r="N97" s="342">
        <v>0.0</v>
      </c>
      <c r="O97" s="342">
        <v>0.0</v>
      </c>
      <c r="P97" s="288">
        <f t="shared" ref="P97:T97" si="79">+O97</f>
        <v>0</v>
      </c>
      <c r="Q97" s="288">
        <f t="shared" si="79"/>
        <v>0</v>
      </c>
      <c r="R97" s="288">
        <f t="shared" si="79"/>
        <v>0</v>
      </c>
      <c r="S97" s="288">
        <f t="shared" si="79"/>
        <v>0</v>
      </c>
      <c r="T97" s="288">
        <f t="shared" si="79"/>
        <v>0</v>
      </c>
    </row>
    <row r="98" ht="12.75" customHeight="1">
      <c r="B98" s="78">
        <v>7.0</v>
      </c>
      <c r="C98" s="154" t="s">
        <v>332</v>
      </c>
      <c r="H98" s="153" t="s">
        <v>36</v>
      </c>
      <c r="I98" s="153"/>
      <c r="J98" s="342">
        <v>0.0</v>
      </c>
      <c r="K98" s="342">
        <f>+-698/1000</f>
        <v>-0.698</v>
      </c>
      <c r="L98" s="342">
        <f>+-4587/1000</f>
        <v>-4.587</v>
      </c>
      <c r="M98" s="342">
        <f>-1747/1000</f>
        <v>-1.747</v>
      </c>
      <c r="N98" s="342">
        <v>0.0</v>
      </c>
      <c r="O98" s="342">
        <v>0.0</v>
      </c>
      <c r="P98" s="288">
        <f t="shared" ref="P98:T98" si="80">+O98</f>
        <v>0</v>
      </c>
      <c r="Q98" s="288">
        <f t="shared" si="80"/>
        <v>0</v>
      </c>
      <c r="R98" s="288">
        <f t="shared" si="80"/>
        <v>0</v>
      </c>
      <c r="S98" s="288">
        <f t="shared" si="80"/>
        <v>0</v>
      </c>
      <c r="T98" s="288">
        <f t="shared" si="80"/>
        <v>0</v>
      </c>
    </row>
    <row r="99" ht="12.75" customHeight="1">
      <c r="B99" s="78">
        <v>8.0</v>
      </c>
      <c r="C99" s="154" t="s">
        <v>333</v>
      </c>
      <c r="H99" s="153" t="s">
        <v>36</v>
      </c>
      <c r="I99" s="153"/>
      <c r="J99" s="342">
        <v>0.0</v>
      </c>
      <c r="K99" s="342">
        <f>-5/1000</f>
        <v>-0.005</v>
      </c>
      <c r="L99" s="342">
        <v>0.0</v>
      </c>
      <c r="M99" s="342">
        <f>-81/1000</f>
        <v>-0.081</v>
      </c>
      <c r="N99" s="342">
        <v>0.0</v>
      </c>
      <c r="O99" s="342">
        <v>0.0</v>
      </c>
      <c r="P99" s="288">
        <f t="shared" ref="P99:T99" si="81">+O99</f>
        <v>0</v>
      </c>
      <c r="Q99" s="288">
        <f t="shared" si="81"/>
        <v>0</v>
      </c>
      <c r="R99" s="288">
        <f t="shared" si="81"/>
        <v>0</v>
      </c>
      <c r="S99" s="288">
        <f t="shared" si="81"/>
        <v>0</v>
      </c>
      <c r="T99" s="288">
        <f t="shared" si="81"/>
        <v>0</v>
      </c>
    </row>
    <row r="100" ht="12.75" customHeight="1">
      <c r="B100" s="78">
        <v>9.0</v>
      </c>
      <c r="C100" s="259" t="s">
        <v>334</v>
      </c>
      <c r="D100" s="259"/>
      <c r="E100" s="259"/>
      <c r="F100" s="259"/>
      <c r="G100" s="259"/>
      <c r="H100" s="260" t="s">
        <v>36</v>
      </c>
      <c r="I100" s="260"/>
      <c r="J100" s="343">
        <v>0.0</v>
      </c>
      <c r="K100" s="343">
        <f>-1665/1000</f>
        <v>-1.665</v>
      </c>
      <c r="L100" s="343">
        <f>+-6740/1000</f>
        <v>-6.74</v>
      </c>
      <c r="M100" s="343">
        <f>-12563/1000</f>
        <v>-12.563</v>
      </c>
      <c r="N100" s="343">
        <v>0.0</v>
      </c>
      <c r="O100" s="343">
        <v>0.0</v>
      </c>
      <c r="P100" s="334">
        <f t="shared" ref="P100:T100" si="82">+O100</f>
        <v>0</v>
      </c>
      <c r="Q100" s="334">
        <f t="shared" si="82"/>
        <v>0</v>
      </c>
      <c r="R100" s="334">
        <f t="shared" si="82"/>
        <v>0</v>
      </c>
      <c r="S100" s="334">
        <f t="shared" si="82"/>
        <v>0</v>
      </c>
      <c r="T100" s="334">
        <f t="shared" si="82"/>
        <v>0</v>
      </c>
    </row>
    <row r="101" ht="12.75" customHeight="1">
      <c r="C101" s="196" t="s">
        <v>304</v>
      </c>
      <c r="H101" s="153" t="s">
        <v>36</v>
      </c>
      <c r="I101" s="153"/>
      <c r="J101" s="344">
        <f t="shared" ref="J101:O101" si="83">+SUM(J92:J100)</f>
        <v>-19.613</v>
      </c>
      <c r="K101" s="344">
        <f t="shared" si="83"/>
        <v>-10.408</v>
      </c>
      <c r="L101" s="344">
        <f t="shared" si="83"/>
        <v>-11.386</v>
      </c>
      <c r="M101" s="344">
        <f t="shared" si="83"/>
        <v>43.921</v>
      </c>
      <c r="N101" s="344">
        <f t="shared" si="83"/>
        <v>8.576</v>
      </c>
      <c r="O101" s="344">
        <f t="shared" si="83"/>
        <v>0</v>
      </c>
      <c r="P101" s="355">
        <f t="shared" ref="P101:T101" si="84">SUM(P92:P100)</f>
        <v>0</v>
      </c>
      <c r="Q101" s="355">
        <f t="shared" si="84"/>
        <v>0</v>
      </c>
      <c r="R101" s="355">
        <f t="shared" si="84"/>
        <v>0</v>
      </c>
      <c r="S101" s="355">
        <f t="shared" si="84"/>
        <v>0</v>
      </c>
      <c r="T101" s="355">
        <f t="shared" si="84"/>
        <v>0</v>
      </c>
    </row>
    <row r="102" ht="12.75" customHeight="1">
      <c r="H102" s="153"/>
      <c r="I102" s="153"/>
    </row>
    <row r="103" ht="12.75" customHeight="1">
      <c r="C103" s="227" t="s">
        <v>344</v>
      </c>
      <c r="D103" s="186"/>
    </row>
    <row r="104" ht="12.75" customHeight="1">
      <c r="B104" s="78">
        <v>1.0</v>
      </c>
      <c r="C104" s="78" t="s">
        <v>326</v>
      </c>
      <c r="E104" s="153"/>
      <c r="F104" s="153"/>
      <c r="G104" s="153"/>
      <c r="H104" s="153" t="s">
        <v>32</v>
      </c>
      <c r="I104" s="153"/>
      <c r="J104" s="224">
        <f t="shared" ref="J104:J112" si="86">+IFERROR(J53/$J$62,"")</f>
        <v>0.02778134553</v>
      </c>
      <c r="K104" s="224">
        <f t="shared" ref="K104:K112" si="87">+IFERROR(K53/$K$62,"")</f>
        <v>0.002354966543</v>
      </c>
      <c r="L104" s="224">
        <f t="shared" ref="L104:L112" si="88">+IFERROR(L53/$L$62,"")</f>
        <v>0</v>
      </c>
      <c r="M104" s="224">
        <f t="shared" ref="M104:M112" si="89">+IFERROR(M53/$M$62,"")</f>
        <v>0.002949943627</v>
      </c>
      <c r="N104" s="224">
        <f t="shared" ref="N104:N112" si="90">+IFERROR(N53/$N$62,"")</f>
        <v>0.00380968999</v>
      </c>
      <c r="O104" s="224">
        <f t="shared" ref="O104:O112" si="91">+IFERROR(O53/$O$62,"")</f>
        <v>0</v>
      </c>
      <c r="P104" s="279">
        <f t="shared" ref="P104:P112" si="92">AVERAGE(M104:O104)</f>
        <v>0.002253211206</v>
      </c>
      <c r="Q104" s="279">
        <f t="shared" ref="Q104:T104" si="85">P104</f>
        <v>0.002253211206</v>
      </c>
      <c r="R104" s="279">
        <f t="shared" si="85"/>
        <v>0.002253211206</v>
      </c>
      <c r="S104" s="279">
        <f t="shared" si="85"/>
        <v>0.002253211206</v>
      </c>
      <c r="T104" s="279">
        <f t="shared" si="85"/>
        <v>0.002253211206</v>
      </c>
    </row>
    <row r="105" ht="12.75" customHeight="1">
      <c r="B105" s="78">
        <v>2.0</v>
      </c>
      <c r="C105" s="154" t="s">
        <v>327</v>
      </c>
      <c r="E105" s="153"/>
      <c r="F105" s="153"/>
      <c r="G105" s="153"/>
      <c r="H105" s="153" t="s">
        <v>32</v>
      </c>
      <c r="I105" s="153"/>
      <c r="J105" s="224">
        <f t="shared" si="86"/>
        <v>0.1001053199</v>
      </c>
      <c r="K105" s="224">
        <f t="shared" si="87"/>
        <v>0.003686740726</v>
      </c>
      <c r="L105" s="224">
        <f t="shared" si="88"/>
        <v>0.02223430491</v>
      </c>
      <c r="M105" s="224">
        <f t="shared" si="89"/>
        <v>0.05791774136</v>
      </c>
      <c r="N105" s="224">
        <f t="shared" si="90"/>
        <v>0.05230326296</v>
      </c>
      <c r="O105" s="224">
        <f t="shared" si="91"/>
        <v>0.008042175486</v>
      </c>
      <c r="P105" s="279">
        <f t="shared" si="92"/>
        <v>0.03942105993</v>
      </c>
      <c r="Q105" s="279">
        <f t="shared" ref="Q105:T105" si="93">P105</f>
        <v>0.03942105993</v>
      </c>
      <c r="R105" s="279">
        <f t="shared" si="93"/>
        <v>0.03942105993</v>
      </c>
      <c r="S105" s="279">
        <f t="shared" si="93"/>
        <v>0.03942105993</v>
      </c>
      <c r="T105" s="279">
        <f t="shared" si="93"/>
        <v>0.03942105993</v>
      </c>
    </row>
    <row r="106" ht="12.75" customHeight="1">
      <c r="B106" s="78">
        <v>3.0</v>
      </c>
      <c r="C106" s="154" t="s">
        <v>328</v>
      </c>
      <c r="E106" s="153"/>
      <c r="F106" s="153"/>
      <c r="G106" s="153"/>
      <c r="H106" s="153" t="s">
        <v>32</v>
      </c>
      <c r="I106" s="153"/>
      <c r="J106" s="224">
        <f t="shared" si="86"/>
        <v>0</v>
      </c>
      <c r="K106" s="224">
        <f t="shared" si="87"/>
        <v>0</v>
      </c>
      <c r="L106" s="224">
        <f t="shared" si="88"/>
        <v>0</v>
      </c>
      <c r="M106" s="224">
        <f t="shared" si="89"/>
        <v>0</v>
      </c>
      <c r="N106" s="224">
        <f t="shared" si="90"/>
        <v>0</v>
      </c>
      <c r="O106" s="224">
        <f t="shared" si="91"/>
        <v>0</v>
      </c>
      <c r="P106" s="279">
        <f t="shared" si="92"/>
        <v>0</v>
      </c>
      <c r="Q106" s="279">
        <f t="shared" ref="Q106:T106" si="94">P106</f>
        <v>0</v>
      </c>
      <c r="R106" s="279">
        <f t="shared" si="94"/>
        <v>0</v>
      </c>
      <c r="S106" s="279">
        <f t="shared" si="94"/>
        <v>0</v>
      </c>
      <c r="T106" s="279">
        <f t="shared" si="94"/>
        <v>0</v>
      </c>
    </row>
    <row r="107" ht="12.75" customHeight="1">
      <c r="B107" s="78">
        <v>4.0</v>
      </c>
      <c r="C107" s="154" t="s">
        <v>329</v>
      </c>
      <c r="E107" s="153"/>
      <c r="F107" s="153"/>
      <c r="G107" s="153"/>
      <c r="H107" s="153" t="s">
        <v>32</v>
      </c>
      <c r="I107" s="153"/>
      <c r="J107" s="224">
        <f t="shared" si="86"/>
        <v>0.09752369699</v>
      </c>
      <c r="K107" s="224">
        <f t="shared" si="87"/>
        <v>0.1720912103</v>
      </c>
      <c r="L107" s="224">
        <f t="shared" si="88"/>
        <v>0.1875060683</v>
      </c>
      <c r="M107" s="224">
        <f t="shared" si="89"/>
        <v>0.1260521723</v>
      </c>
      <c r="N107" s="224">
        <f t="shared" si="90"/>
        <v>0.02663874833</v>
      </c>
      <c r="O107" s="224">
        <f t="shared" si="91"/>
        <v>0.04573722298</v>
      </c>
      <c r="P107" s="279">
        <f t="shared" si="92"/>
        <v>0.06614271454</v>
      </c>
      <c r="Q107" s="279">
        <f t="shared" ref="Q107:T107" si="95">P107</f>
        <v>0.06614271454</v>
      </c>
      <c r="R107" s="279">
        <f t="shared" si="95"/>
        <v>0.06614271454</v>
      </c>
      <c r="S107" s="279">
        <f t="shared" si="95"/>
        <v>0.06614271454</v>
      </c>
      <c r="T107" s="279">
        <f t="shared" si="95"/>
        <v>0.06614271454</v>
      </c>
    </row>
    <row r="108" ht="12.75" customHeight="1">
      <c r="B108" s="78">
        <v>5.0</v>
      </c>
      <c r="C108" s="154" t="s">
        <v>330</v>
      </c>
      <c r="E108" s="153"/>
      <c r="F108" s="153"/>
      <c r="G108" s="153"/>
      <c r="H108" s="153" t="s">
        <v>32</v>
      </c>
      <c r="I108" s="153"/>
      <c r="J108" s="224">
        <f t="shared" si="86"/>
        <v>0.002427496211</v>
      </c>
      <c r="K108" s="224">
        <f t="shared" si="87"/>
        <v>0.0007470928344</v>
      </c>
      <c r="L108" s="224">
        <f t="shared" si="88"/>
        <v>0.003776919044</v>
      </c>
      <c r="M108" s="224">
        <f t="shared" si="89"/>
        <v>0.00239393331</v>
      </c>
      <c r="N108" s="224">
        <f t="shared" si="90"/>
        <v>-0.000712499273</v>
      </c>
      <c r="O108" s="224">
        <f t="shared" si="91"/>
        <v>0</v>
      </c>
      <c r="P108" s="279">
        <f t="shared" si="92"/>
        <v>0.0005604780122</v>
      </c>
      <c r="Q108" s="279">
        <f t="shared" ref="Q108:T108" si="96">P108</f>
        <v>0.0005604780122</v>
      </c>
      <c r="R108" s="279">
        <f t="shared" si="96"/>
        <v>0.0005604780122</v>
      </c>
      <c r="S108" s="279">
        <f t="shared" si="96"/>
        <v>0.0005604780122</v>
      </c>
      <c r="T108" s="279">
        <f t="shared" si="96"/>
        <v>0.0005604780122</v>
      </c>
    </row>
    <row r="109" ht="12.75" customHeight="1">
      <c r="B109" s="78">
        <v>6.0</v>
      </c>
      <c r="C109" s="154" t="s">
        <v>331</v>
      </c>
      <c r="E109" s="153"/>
      <c r="F109" s="153"/>
      <c r="G109" s="153"/>
      <c r="H109" s="153" t="s">
        <v>32</v>
      </c>
      <c r="I109" s="153"/>
      <c r="J109" s="224">
        <f t="shared" si="86"/>
        <v>0.005574250559</v>
      </c>
      <c r="K109" s="224">
        <f t="shared" si="87"/>
        <v>0.008282985773</v>
      </c>
      <c r="L109" s="224">
        <f t="shared" si="88"/>
        <v>0.006757675204</v>
      </c>
      <c r="M109" s="224">
        <f t="shared" si="89"/>
        <v>0.004571640385</v>
      </c>
      <c r="N109" s="224">
        <f t="shared" si="90"/>
        <v>0.0008142848834</v>
      </c>
      <c r="O109" s="224">
        <f t="shared" si="91"/>
        <v>0.000565355043</v>
      </c>
      <c r="P109" s="279">
        <f t="shared" si="92"/>
        <v>0.001983760104</v>
      </c>
      <c r="Q109" s="279">
        <f t="shared" ref="Q109:T109" si="97">P109</f>
        <v>0.001983760104</v>
      </c>
      <c r="R109" s="279">
        <f t="shared" si="97"/>
        <v>0.001983760104</v>
      </c>
      <c r="S109" s="279">
        <f t="shared" si="97"/>
        <v>0.001983760104</v>
      </c>
      <c r="T109" s="279">
        <f t="shared" si="97"/>
        <v>0.001983760104</v>
      </c>
    </row>
    <row r="110" ht="12.75" customHeight="1">
      <c r="B110" s="78">
        <v>7.0</v>
      </c>
      <c r="C110" s="154" t="s">
        <v>332</v>
      </c>
      <c r="E110" s="153"/>
      <c r="F110" s="153"/>
      <c r="G110" s="153"/>
      <c r="H110" s="153" t="s">
        <v>32</v>
      </c>
      <c r="I110" s="153"/>
      <c r="J110" s="224">
        <f t="shared" si="86"/>
        <v>0.2178838398</v>
      </c>
      <c r="K110" s="224">
        <f t="shared" si="87"/>
        <v>0.2246150848</v>
      </c>
      <c r="L110" s="224">
        <f t="shared" si="88"/>
        <v>0.2280424102</v>
      </c>
      <c r="M110" s="224">
        <f t="shared" si="89"/>
        <v>0.2167745224</v>
      </c>
      <c r="N110" s="224">
        <f t="shared" si="90"/>
        <v>0.168397022</v>
      </c>
      <c r="O110" s="224">
        <f t="shared" si="91"/>
        <v>0.1453669154</v>
      </c>
      <c r="P110" s="279">
        <f t="shared" si="92"/>
        <v>0.1768461533</v>
      </c>
      <c r="Q110" s="279">
        <f t="shared" ref="Q110:T110" si="98">P110</f>
        <v>0.1768461533</v>
      </c>
      <c r="R110" s="279">
        <f t="shared" si="98"/>
        <v>0.1768461533</v>
      </c>
      <c r="S110" s="279">
        <f t="shared" si="98"/>
        <v>0.1768461533</v>
      </c>
      <c r="T110" s="279">
        <f t="shared" si="98"/>
        <v>0.1768461533</v>
      </c>
    </row>
    <row r="111" ht="12.75" customHeight="1">
      <c r="B111" s="78">
        <v>8.0</v>
      </c>
      <c r="C111" s="154" t="s">
        <v>333</v>
      </c>
      <c r="E111" s="153"/>
      <c r="F111" s="153"/>
      <c r="G111" s="153"/>
      <c r="H111" s="153" t="s">
        <v>32</v>
      </c>
      <c r="I111" s="153"/>
      <c r="J111" s="224">
        <f t="shared" si="86"/>
        <v>0.05137558119</v>
      </c>
      <c r="K111" s="224">
        <f t="shared" si="87"/>
        <v>0.09851880725</v>
      </c>
      <c r="L111" s="224">
        <f t="shared" si="88"/>
        <v>0</v>
      </c>
      <c r="M111" s="224">
        <f t="shared" si="89"/>
        <v>0.009946406783</v>
      </c>
      <c r="N111" s="224">
        <f t="shared" si="90"/>
        <v>0.02724946199</v>
      </c>
      <c r="O111" s="224">
        <f t="shared" si="91"/>
        <v>0.003137720488</v>
      </c>
      <c r="P111" s="279">
        <f t="shared" si="92"/>
        <v>0.01344452975</v>
      </c>
      <c r="Q111" s="279">
        <f t="shared" ref="Q111:T111" si="99">P111</f>
        <v>0.01344452975</v>
      </c>
      <c r="R111" s="279">
        <f t="shared" si="99"/>
        <v>0.01344452975</v>
      </c>
      <c r="S111" s="279">
        <f t="shared" si="99"/>
        <v>0.01344452975</v>
      </c>
      <c r="T111" s="279">
        <f t="shared" si="99"/>
        <v>0.01344452975</v>
      </c>
    </row>
    <row r="112" ht="12.75" customHeight="1">
      <c r="B112" s="78">
        <v>9.0</v>
      </c>
      <c r="C112" s="154" t="s">
        <v>334</v>
      </c>
      <c r="E112" s="153"/>
      <c r="F112" s="153"/>
      <c r="G112" s="153"/>
      <c r="H112" s="153" t="s">
        <v>32</v>
      </c>
      <c r="I112" s="153"/>
      <c r="J112" s="224">
        <f t="shared" si="86"/>
        <v>0.4973284698</v>
      </c>
      <c r="K112" s="224">
        <f t="shared" si="87"/>
        <v>0.4897031118</v>
      </c>
      <c r="L112" s="224">
        <f t="shared" si="88"/>
        <v>0.5516826223</v>
      </c>
      <c r="M112" s="224">
        <f t="shared" si="89"/>
        <v>0.5793936399</v>
      </c>
      <c r="N112" s="224">
        <f t="shared" si="90"/>
        <v>0.7215000291</v>
      </c>
      <c r="O112" s="224">
        <f t="shared" si="91"/>
        <v>0.7971506106</v>
      </c>
      <c r="P112" s="279">
        <f t="shared" si="92"/>
        <v>0.6993480932</v>
      </c>
      <c r="Q112" s="279">
        <f t="shared" ref="Q112:T112" si="100">P112</f>
        <v>0.6993480932</v>
      </c>
      <c r="R112" s="279">
        <f t="shared" si="100"/>
        <v>0.6993480932</v>
      </c>
      <c r="S112" s="279">
        <f t="shared" si="100"/>
        <v>0.6993480932</v>
      </c>
      <c r="T112" s="279">
        <f t="shared" si="100"/>
        <v>0.6993480932</v>
      </c>
    </row>
    <row r="113" ht="12.75" customHeight="1"/>
    <row r="114" ht="12.75" customHeight="1">
      <c r="A114" s="64" t="s">
        <v>33</v>
      </c>
      <c r="B114" s="275" t="s">
        <v>345</v>
      </c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20"/>
      <c r="P114" s="359"/>
      <c r="Q114" s="359"/>
      <c r="R114" s="359"/>
      <c r="S114" s="359"/>
      <c r="T114" s="359"/>
    </row>
    <row r="115" ht="12.75" customHeight="1"/>
    <row r="116" ht="12.75" customHeight="1">
      <c r="C116" s="196" t="s">
        <v>346</v>
      </c>
    </row>
    <row r="117" ht="12.75" customHeight="1">
      <c r="C117" s="360" t="s">
        <v>347</v>
      </c>
      <c r="D117" s="361"/>
      <c r="E117" s="361"/>
      <c r="F117" s="361"/>
      <c r="G117" s="361"/>
      <c r="H117" s="361" t="s">
        <v>36</v>
      </c>
      <c r="I117" s="361"/>
      <c r="J117" s="360" t="str">
        <f>+$E$41</f>
        <v/>
      </c>
      <c r="K117" s="362">
        <f>+$J$41</f>
        <v>31.353</v>
      </c>
      <c r="L117" s="362">
        <f>+$K$41</f>
        <v>31.498</v>
      </c>
      <c r="M117" s="362">
        <f>+$L$41</f>
        <v>23.537</v>
      </c>
      <c r="N117" s="362">
        <f>+$M$41</f>
        <v>23.919</v>
      </c>
      <c r="O117" s="362">
        <f>+$N$41</f>
        <v>23.573</v>
      </c>
      <c r="P117" s="363">
        <f t="shared" ref="P117:T117" si="101">+O120</f>
        <v>23.106</v>
      </c>
      <c r="Q117" s="363">
        <f t="shared" si="101"/>
        <v>23.31031086</v>
      </c>
      <c r="R117" s="363">
        <f t="shared" si="101"/>
        <v>23.5463767</v>
      </c>
      <c r="S117" s="363">
        <f t="shared" si="101"/>
        <v>23.80840846</v>
      </c>
      <c r="T117" s="363">
        <f t="shared" si="101"/>
        <v>24.07044021</v>
      </c>
    </row>
    <row r="118" ht="12.75" customHeight="1">
      <c r="C118" s="17" t="s">
        <v>299</v>
      </c>
      <c r="E118" s="364"/>
      <c r="F118" s="364"/>
      <c r="G118" s="364"/>
      <c r="H118" s="364" t="s">
        <v>36</v>
      </c>
      <c r="I118" s="364"/>
      <c r="J118" s="365">
        <f>+$J$53</f>
        <v>2.163</v>
      </c>
      <c r="K118" s="365">
        <f>+$K$53</f>
        <v>0.145</v>
      </c>
      <c r="L118" s="365">
        <f>+$L$53</f>
        <v>0</v>
      </c>
      <c r="M118" s="365">
        <f>+$M$53</f>
        <v>0.382</v>
      </c>
      <c r="N118" s="365">
        <f>+$N$53</f>
        <v>0.262</v>
      </c>
      <c r="O118" s="365">
        <f>+$O$53</f>
        <v>0</v>
      </c>
      <c r="P118" s="257">
        <f t="shared" ref="P118:T118" si="102">P53</f>
        <v>0.2043108566</v>
      </c>
      <c r="Q118" s="257">
        <f t="shared" si="102"/>
        <v>0.236065847</v>
      </c>
      <c r="R118" s="257">
        <f t="shared" si="102"/>
        <v>0.2620317535</v>
      </c>
      <c r="S118" s="257">
        <f t="shared" si="102"/>
        <v>0.2620317535</v>
      </c>
      <c r="T118" s="257">
        <f t="shared" si="102"/>
        <v>0.2705606281</v>
      </c>
    </row>
    <row r="119" ht="12.75" customHeight="1">
      <c r="C119" s="17" t="s">
        <v>348</v>
      </c>
      <c r="E119" s="364"/>
      <c r="F119" s="364"/>
      <c r="G119" s="364"/>
      <c r="H119" s="364" t="s">
        <v>36</v>
      </c>
      <c r="I119" s="364"/>
      <c r="J119" s="365">
        <f t="shared" ref="J119:O119" si="103">+J120-(J117+J118)</f>
        <v>29.19</v>
      </c>
      <c r="K119" s="365">
        <f t="shared" si="103"/>
        <v>0</v>
      </c>
      <c r="L119" s="365">
        <f t="shared" si="103"/>
        <v>-7.961</v>
      </c>
      <c r="M119" s="365">
        <f t="shared" si="103"/>
        <v>0</v>
      </c>
      <c r="N119" s="365">
        <f t="shared" si="103"/>
        <v>-0.608</v>
      </c>
      <c r="O119" s="365">
        <f t="shared" si="103"/>
        <v>-0.467</v>
      </c>
      <c r="P119" s="366">
        <v>0.0</v>
      </c>
      <c r="Q119" s="366">
        <v>0.0</v>
      </c>
      <c r="R119" s="366">
        <v>0.0</v>
      </c>
      <c r="S119" s="366">
        <v>0.0</v>
      </c>
      <c r="T119" s="366">
        <v>0.0</v>
      </c>
    </row>
    <row r="120" ht="12.75" customHeight="1">
      <c r="C120" s="367" t="s">
        <v>349</v>
      </c>
      <c r="D120" s="368"/>
      <c r="E120" s="368"/>
      <c r="F120" s="368"/>
      <c r="G120" s="368"/>
      <c r="H120" s="368" t="s">
        <v>36</v>
      </c>
      <c r="I120" s="368"/>
      <c r="J120" s="369">
        <f>+$J$41</f>
        <v>31.353</v>
      </c>
      <c r="K120" s="369">
        <f>+$K$41</f>
        <v>31.498</v>
      </c>
      <c r="L120" s="369">
        <f>+$L$41</f>
        <v>23.537</v>
      </c>
      <c r="M120" s="369">
        <f>+$M$41</f>
        <v>23.919</v>
      </c>
      <c r="N120" s="369">
        <f>+$N$41</f>
        <v>23.573</v>
      </c>
      <c r="O120" s="369">
        <f>+$O$41</f>
        <v>23.106</v>
      </c>
      <c r="P120" s="370">
        <f t="shared" ref="P120:T120" si="104">SUM(P117:P119)</f>
        <v>23.31031086</v>
      </c>
      <c r="Q120" s="370">
        <f t="shared" si="104"/>
        <v>23.5463767</v>
      </c>
      <c r="R120" s="370">
        <f t="shared" si="104"/>
        <v>23.80840846</v>
      </c>
      <c r="S120" s="370">
        <f t="shared" si="104"/>
        <v>24.07044021</v>
      </c>
      <c r="T120" s="370">
        <f t="shared" si="104"/>
        <v>24.34100084</v>
      </c>
    </row>
    <row r="121" ht="12.75" customHeight="1">
      <c r="C121" s="367" t="s">
        <v>350</v>
      </c>
      <c r="D121" s="368"/>
      <c r="E121" s="368"/>
      <c r="F121" s="368"/>
      <c r="G121" s="368"/>
      <c r="H121" s="368" t="s">
        <v>36</v>
      </c>
      <c r="I121" s="368"/>
      <c r="J121" s="371" t="str">
        <f t="shared" ref="J121:O121" si="105">+I68</f>
        <v/>
      </c>
      <c r="K121" s="371">
        <f t="shared" si="105"/>
        <v>0</v>
      </c>
      <c r="L121" s="371">
        <f t="shared" si="105"/>
        <v>0</v>
      </c>
      <c r="M121" s="371">
        <f t="shared" si="105"/>
        <v>0</v>
      </c>
      <c r="N121" s="371">
        <f t="shared" si="105"/>
        <v>0</v>
      </c>
      <c r="O121" s="371">
        <f t="shared" si="105"/>
        <v>0</v>
      </c>
      <c r="P121" s="257">
        <f t="shared" ref="P121:T121" si="106">+O124</f>
        <v>0</v>
      </c>
      <c r="Q121" s="257">
        <f t="shared" si="106"/>
        <v>0</v>
      </c>
      <c r="R121" s="257">
        <f t="shared" si="106"/>
        <v>0</v>
      </c>
      <c r="S121" s="257">
        <f t="shared" si="106"/>
        <v>0</v>
      </c>
      <c r="T121" s="257">
        <f t="shared" si="106"/>
        <v>0</v>
      </c>
    </row>
    <row r="122" ht="12.75" customHeight="1">
      <c r="C122" s="17" t="s">
        <v>342</v>
      </c>
      <c r="E122" s="364"/>
      <c r="F122" s="364"/>
      <c r="G122" s="364"/>
      <c r="H122" s="364" t="s">
        <v>36</v>
      </c>
      <c r="I122" s="364"/>
      <c r="J122" s="372">
        <f t="shared" ref="J122:M122" si="107">+J80</f>
        <v>0</v>
      </c>
      <c r="K122" s="372">
        <f t="shared" si="107"/>
        <v>0</v>
      </c>
      <c r="L122" s="372">
        <f t="shared" si="107"/>
        <v>0</v>
      </c>
      <c r="M122" s="372">
        <f t="shared" si="107"/>
        <v>0</v>
      </c>
      <c r="N122" s="372">
        <f>N80</f>
        <v>0</v>
      </c>
      <c r="O122" s="372">
        <f>+O80</f>
        <v>0</v>
      </c>
      <c r="P122" s="257">
        <f t="shared" ref="P122:T122" si="108">SUM(P133,P135)</f>
        <v>0</v>
      </c>
      <c r="Q122" s="257">
        <f t="shared" si="108"/>
        <v>0</v>
      </c>
      <c r="R122" s="257">
        <f t="shared" si="108"/>
        <v>0</v>
      </c>
      <c r="S122" s="257">
        <f t="shared" si="108"/>
        <v>0</v>
      </c>
      <c r="T122" s="257">
        <f t="shared" si="108"/>
        <v>0</v>
      </c>
    </row>
    <row r="123" ht="12.75" customHeight="1">
      <c r="C123" s="17" t="s">
        <v>348</v>
      </c>
      <c r="E123" s="364"/>
      <c r="F123" s="364"/>
      <c r="G123" s="364"/>
      <c r="H123" s="364" t="s">
        <v>36</v>
      </c>
      <c r="I123" s="364"/>
      <c r="J123" s="372">
        <f t="shared" ref="J123:O123" si="109">+J124-(J121+J122)</f>
        <v>0</v>
      </c>
      <c r="K123" s="372">
        <f t="shared" si="109"/>
        <v>0</v>
      </c>
      <c r="L123" s="372">
        <f t="shared" si="109"/>
        <v>0</v>
      </c>
      <c r="M123" s="372">
        <f t="shared" si="109"/>
        <v>0</v>
      </c>
      <c r="N123" s="372">
        <f t="shared" si="109"/>
        <v>0</v>
      </c>
      <c r="O123" s="372">
        <f t="shared" si="109"/>
        <v>0</v>
      </c>
      <c r="P123" s="366">
        <v>0.0</v>
      </c>
      <c r="Q123" s="366">
        <v>0.0</v>
      </c>
      <c r="R123" s="366">
        <v>0.0</v>
      </c>
      <c r="S123" s="366">
        <v>0.0</v>
      </c>
      <c r="T123" s="366">
        <v>0.0</v>
      </c>
    </row>
    <row r="124" ht="12.75" customHeight="1">
      <c r="C124" s="367" t="s">
        <v>351</v>
      </c>
      <c r="D124" s="368"/>
      <c r="E124" s="368"/>
      <c r="F124" s="368"/>
      <c r="G124" s="368"/>
      <c r="H124" s="368" t="s">
        <v>36</v>
      </c>
      <c r="I124" s="368"/>
      <c r="J124" s="373">
        <f>+J68</f>
        <v>0</v>
      </c>
      <c r="K124" s="373">
        <f>K68</f>
        <v>0</v>
      </c>
      <c r="L124" s="373">
        <f>+L68</f>
        <v>0</v>
      </c>
      <c r="M124" s="373">
        <f>M68</f>
        <v>0</v>
      </c>
      <c r="N124" s="373">
        <f>+N68</f>
        <v>0</v>
      </c>
      <c r="O124" s="373">
        <f>O68</f>
        <v>0</v>
      </c>
      <c r="P124" s="374">
        <f t="shared" ref="P124:T124" si="110">SUM(P121:P123)</f>
        <v>0</v>
      </c>
      <c r="Q124" s="374">
        <f t="shared" si="110"/>
        <v>0</v>
      </c>
      <c r="R124" s="374">
        <f t="shared" si="110"/>
        <v>0</v>
      </c>
      <c r="S124" s="374">
        <f t="shared" si="110"/>
        <v>0</v>
      </c>
      <c r="T124" s="374">
        <f t="shared" si="110"/>
        <v>0</v>
      </c>
    </row>
    <row r="125" ht="12.75" customHeight="1">
      <c r="C125" s="367" t="s">
        <v>304</v>
      </c>
      <c r="D125" s="368"/>
      <c r="E125" s="368"/>
      <c r="F125" s="368"/>
      <c r="G125" s="368"/>
      <c r="H125" s="368" t="s">
        <v>36</v>
      </c>
      <c r="I125" s="368"/>
      <c r="J125" s="373">
        <f t="shared" ref="J125:O125" si="111">+J92</f>
        <v>0</v>
      </c>
      <c r="K125" s="373">
        <f t="shared" si="111"/>
        <v>0</v>
      </c>
      <c r="L125" s="373">
        <f t="shared" si="111"/>
        <v>0</v>
      </c>
      <c r="M125" s="373">
        <f t="shared" si="111"/>
        <v>0</v>
      </c>
      <c r="N125" s="373">
        <f t="shared" si="111"/>
        <v>0</v>
      </c>
      <c r="O125" s="373">
        <f t="shared" si="111"/>
        <v>0</v>
      </c>
      <c r="P125" s="374">
        <f t="shared" ref="P125:T125" si="112">-P92</f>
        <v>0</v>
      </c>
      <c r="Q125" s="374">
        <f t="shared" si="112"/>
        <v>0</v>
      </c>
      <c r="R125" s="374">
        <f t="shared" si="112"/>
        <v>0</v>
      </c>
      <c r="S125" s="374">
        <f t="shared" si="112"/>
        <v>0</v>
      </c>
      <c r="T125" s="374">
        <f t="shared" si="112"/>
        <v>0</v>
      </c>
    </row>
    <row r="126" ht="12.75" customHeight="1">
      <c r="C126" s="375" t="s">
        <v>352</v>
      </c>
      <c r="D126" s="376"/>
      <c r="E126" s="376"/>
      <c r="F126" s="376"/>
      <c r="G126" s="376"/>
      <c r="H126" s="376" t="s">
        <v>36</v>
      </c>
      <c r="I126" s="376"/>
      <c r="J126" s="377">
        <f t="shared" ref="J126:O126" si="113">+J120+J124+J125</f>
        <v>31.353</v>
      </c>
      <c r="K126" s="377">
        <f t="shared" si="113"/>
        <v>31.498</v>
      </c>
      <c r="L126" s="377">
        <f t="shared" si="113"/>
        <v>23.537</v>
      </c>
      <c r="M126" s="377">
        <f t="shared" si="113"/>
        <v>23.919</v>
      </c>
      <c r="N126" s="377">
        <f t="shared" si="113"/>
        <v>23.573</v>
      </c>
      <c r="O126" s="377">
        <f t="shared" si="113"/>
        <v>23.106</v>
      </c>
      <c r="P126" s="378">
        <f t="shared" ref="P126:T126" si="114">P120+P124+P125</f>
        <v>23.31031086</v>
      </c>
      <c r="Q126" s="378">
        <f t="shared" si="114"/>
        <v>23.5463767</v>
      </c>
      <c r="R126" s="378">
        <f t="shared" si="114"/>
        <v>23.80840846</v>
      </c>
      <c r="S126" s="378">
        <f t="shared" si="114"/>
        <v>24.07044021</v>
      </c>
      <c r="T126" s="377">
        <f t="shared" si="114"/>
        <v>24.34100084</v>
      </c>
    </row>
    <row r="127" ht="12.75" customHeight="1"/>
    <row r="128" ht="12.75" customHeight="1"/>
    <row r="129" ht="12.75" customHeight="1">
      <c r="C129" s="379" t="s">
        <v>353</v>
      </c>
      <c r="D129" s="290"/>
      <c r="E129" s="290"/>
      <c r="F129" s="290"/>
      <c r="G129" s="290"/>
      <c r="H129" s="177" t="s">
        <v>32</v>
      </c>
      <c r="I129" s="177"/>
      <c r="J129" s="380"/>
      <c r="K129" s="380">
        <f t="shared" ref="K129:O129" si="115">+K122/AVERAGE(K120,K117)</f>
        <v>0</v>
      </c>
      <c r="L129" s="380">
        <f t="shared" si="115"/>
        <v>0</v>
      </c>
      <c r="M129" s="380">
        <f t="shared" si="115"/>
        <v>0</v>
      </c>
      <c r="N129" s="380">
        <f t="shared" si="115"/>
        <v>0</v>
      </c>
      <c r="O129" s="381">
        <f t="shared" si="115"/>
        <v>0</v>
      </c>
    </row>
    <row r="130" ht="12.75" customHeight="1"/>
    <row r="131" ht="12.75" customHeight="1">
      <c r="C131" s="154" t="s">
        <v>354</v>
      </c>
    </row>
    <row r="132" ht="12.75" customHeight="1"/>
    <row r="133" ht="12.75" customHeight="1">
      <c r="C133" s="171" t="s">
        <v>355</v>
      </c>
      <c r="F133" s="382">
        <f>+O129</f>
        <v>0</v>
      </c>
      <c r="H133" s="153" t="s">
        <v>36</v>
      </c>
      <c r="I133" s="153"/>
      <c r="J133" s="383">
        <v>0.0</v>
      </c>
      <c r="K133" s="383">
        <v>0.0</v>
      </c>
      <c r="L133" s="383">
        <v>0.0</v>
      </c>
      <c r="M133" s="383">
        <v>0.0</v>
      </c>
      <c r="N133" s="383">
        <v>0.0</v>
      </c>
      <c r="O133" s="383">
        <v>0.0</v>
      </c>
      <c r="P133" s="257">
        <f t="shared" ref="P133:T133" si="116">IF($N120+$N124+$N120*$F133&lt;0,0,MIN($N120+$N124+SUM($O133:O133),$N120*$O133))</f>
        <v>0</v>
      </c>
      <c r="Q133" s="257">
        <f t="shared" si="116"/>
        <v>0</v>
      </c>
      <c r="R133" s="257">
        <f t="shared" si="116"/>
        <v>0</v>
      </c>
      <c r="S133" s="257">
        <f t="shared" si="116"/>
        <v>0</v>
      </c>
      <c r="T133" s="257">
        <f t="shared" si="116"/>
        <v>0</v>
      </c>
    </row>
    <row r="134" ht="12.75" customHeight="1">
      <c r="H134" s="153"/>
      <c r="I134" s="153"/>
    </row>
    <row r="135" ht="12.75" customHeight="1">
      <c r="C135" s="154" t="s">
        <v>356</v>
      </c>
      <c r="F135" s="382">
        <f>+F133</f>
        <v>0</v>
      </c>
      <c r="H135" s="153" t="s">
        <v>36</v>
      </c>
      <c r="I135" s="153"/>
      <c r="P135" s="288">
        <f t="shared" ref="P135:T135" si="117">SUM(P137:P141)</f>
        <v>0</v>
      </c>
      <c r="Q135" s="288">
        <f t="shared" si="117"/>
        <v>0</v>
      </c>
      <c r="R135" s="288">
        <f t="shared" si="117"/>
        <v>0</v>
      </c>
      <c r="S135" s="288">
        <f t="shared" si="117"/>
        <v>0</v>
      </c>
      <c r="T135" s="288">
        <f t="shared" si="117"/>
        <v>0</v>
      </c>
    </row>
    <row r="136" ht="12.75" customHeight="1">
      <c r="H136" s="153"/>
      <c r="I136" s="153"/>
    </row>
    <row r="137" ht="12.75" customHeight="1">
      <c r="C137" s="384" t="s">
        <v>171</v>
      </c>
      <c r="F137" s="385" t="s">
        <v>299</v>
      </c>
      <c r="H137" s="153"/>
      <c r="I137" s="153"/>
      <c r="P137" s="288">
        <f>$F138*$F135/2</f>
        <v>0</v>
      </c>
      <c r="Q137" s="288">
        <f t="shared" ref="Q137:T137" si="118">$F138*$F135</f>
        <v>0</v>
      </c>
      <c r="R137" s="288">
        <f t="shared" si="118"/>
        <v>0</v>
      </c>
      <c r="S137" s="288">
        <f t="shared" si="118"/>
        <v>0</v>
      </c>
      <c r="T137" s="288">
        <f t="shared" si="118"/>
        <v>0</v>
      </c>
    </row>
    <row r="138" ht="12.75" customHeight="1">
      <c r="C138" s="386">
        <f t="array" ref="C138:C142">TRANSPOSE(P2:T2)</f>
        <v>2025</v>
      </c>
      <c r="F138" s="387">
        <f t="array" ref="F138:F142">TRANSPOSE(P118:T118)</f>
        <v>0.2043108566</v>
      </c>
      <c r="H138" s="153" t="s">
        <v>36</v>
      </c>
      <c r="I138" s="153"/>
      <c r="P138" s="388"/>
      <c r="Q138" s="288">
        <f t="shared" ref="Q138:T138" si="119">$F139*$F135/2</f>
        <v>0</v>
      </c>
      <c r="R138" s="288">
        <f t="shared" si="119"/>
        <v>0</v>
      </c>
      <c r="S138" s="288">
        <f t="shared" si="119"/>
        <v>0</v>
      </c>
      <c r="T138" s="288">
        <f t="shared" si="119"/>
        <v>0</v>
      </c>
    </row>
    <row r="139" ht="12.75" customHeight="1">
      <c r="C139" s="386">
        <v>2026.0</v>
      </c>
      <c r="F139" s="387">
        <v>0.23606584696727675</v>
      </c>
      <c r="H139" s="153" t="s">
        <v>36</v>
      </c>
      <c r="I139" s="153"/>
      <c r="P139" s="388"/>
      <c r="Q139" s="388"/>
      <c r="R139" s="288">
        <f t="shared" ref="R139:T139" si="120">$F140*$F135/2</f>
        <v>0</v>
      </c>
      <c r="S139" s="288">
        <f t="shared" si="120"/>
        <v>0</v>
      </c>
      <c r="T139" s="288">
        <f t="shared" si="120"/>
        <v>0</v>
      </c>
    </row>
    <row r="140" ht="12.75" customHeight="1">
      <c r="C140" s="386">
        <v>2027.0</v>
      </c>
      <c r="F140" s="387">
        <v>0.262031753451137</v>
      </c>
      <c r="H140" s="153" t="s">
        <v>36</v>
      </c>
      <c r="I140" s="153"/>
      <c r="P140" s="388"/>
      <c r="Q140" s="388"/>
      <c r="R140" s="388"/>
      <c r="S140" s="288">
        <f t="shared" ref="S140:T140" si="121">$F141*$F135/2</f>
        <v>0</v>
      </c>
      <c r="T140" s="288">
        <f t="shared" si="121"/>
        <v>0</v>
      </c>
    </row>
    <row r="141" ht="12.75" customHeight="1">
      <c r="C141" s="386">
        <v>2028.0</v>
      </c>
      <c r="F141" s="387">
        <v>0.262031753451137</v>
      </c>
      <c r="H141" s="153" t="s">
        <v>36</v>
      </c>
      <c r="I141" s="153"/>
      <c r="P141" s="388"/>
      <c r="Q141" s="388"/>
      <c r="R141" s="388"/>
      <c r="S141" s="388"/>
      <c r="T141" s="288">
        <f>$F142*$F135/2</f>
        <v>0</v>
      </c>
    </row>
    <row r="142" ht="12.75" customHeight="1">
      <c r="C142" s="389">
        <v>2029.0</v>
      </c>
      <c r="F142" s="390">
        <v>0.2705606281157445</v>
      </c>
      <c r="H142" s="153" t="s">
        <v>36</v>
      </c>
      <c r="I142" s="153"/>
    </row>
    <row r="143" ht="12.75" customHeight="1"/>
    <row r="144" ht="12.75" customHeight="1">
      <c r="C144" s="196" t="s">
        <v>357</v>
      </c>
    </row>
    <row r="145" ht="12.75" customHeight="1">
      <c r="C145" s="360" t="s">
        <v>347</v>
      </c>
      <c r="D145" s="361"/>
      <c r="E145" s="361"/>
      <c r="F145" s="361"/>
      <c r="G145" s="361"/>
      <c r="H145" s="361" t="s">
        <v>36</v>
      </c>
      <c r="I145" s="361"/>
      <c r="J145" s="360" t="str">
        <f>+$E$41</f>
        <v/>
      </c>
      <c r="K145" s="362">
        <f>+$J$42</f>
        <v>747.17</v>
      </c>
      <c r="L145" s="362">
        <f>+$K$42</f>
        <v>940.701</v>
      </c>
      <c r="M145" s="362">
        <f>+$L$42</f>
        <v>976.667</v>
      </c>
      <c r="N145" s="362">
        <f>+$M$42</f>
        <v>1078.997</v>
      </c>
      <c r="O145" s="362">
        <f>+$N$42</f>
        <v>1200.955</v>
      </c>
      <c r="P145" s="363">
        <f t="shared" ref="P145:T145" si="122">+O148</f>
        <v>1175.308</v>
      </c>
      <c r="Q145" s="363">
        <f t="shared" si="122"/>
        <v>1178.882521</v>
      </c>
      <c r="R145" s="363">
        <f t="shared" si="122"/>
        <v>1183.012611</v>
      </c>
      <c r="S145" s="363">
        <f t="shared" si="122"/>
        <v>1187.596988</v>
      </c>
      <c r="T145" s="363">
        <f t="shared" si="122"/>
        <v>1192.181365</v>
      </c>
    </row>
    <row r="146" ht="12.75" customHeight="1">
      <c r="C146" s="17" t="s">
        <v>299</v>
      </c>
      <c r="E146" s="364"/>
      <c r="F146" s="364"/>
      <c r="G146" s="364"/>
      <c r="H146" s="364" t="s">
        <v>36</v>
      </c>
      <c r="I146" s="364"/>
      <c r="J146" s="365">
        <f>+$J$54</f>
        <v>7.794</v>
      </c>
      <c r="K146" s="365">
        <f>+$K$54</f>
        <v>0.227</v>
      </c>
      <c r="L146" s="365">
        <f>+$L$54</f>
        <v>2.29</v>
      </c>
      <c r="M146" s="365">
        <f>+$M$54</f>
        <v>7.5</v>
      </c>
      <c r="N146" s="365">
        <f>+$N$54</f>
        <v>3.597</v>
      </c>
      <c r="O146" s="365">
        <f>+$O$54</f>
        <v>0.569</v>
      </c>
      <c r="P146" s="257">
        <f t="shared" ref="P146:T146" si="123">P54</f>
        <v>3.57452089</v>
      </c>
      <c r="Q146" s="257">
        <f t="shared" si="123"/>
        <v>4.13009037</v>
      </c>
      <c r="R146" s="257">
        <f t="shared" si="123"/>
        <v>4.584376925</v>
      </c>
      <c r="S146" s="257">
        <f t="shared" si="123"/>
        <v>4.584376925</v>
      </c>
      <c r="T146" s="257">
        <f t="shared" si="123"/>
        <v>4.733593864</v>
      </c>
    </row>
    <row r="147" ht="12.75" customHeight="1">
      <c r="C147" s="17" t="s">
        <v>348</v>
      </c>
      <c r="E147" s="364"/>
      <c r="F147" s="364"/>
      <c r="G147" s="364"/>
      <c r="H147" s="364" t="s">
        <v>36</v>
      </c>
      <c r="I147" s="364"/>
      <c r="J147" s="365">
        <f t="shared" ref="J147:O147" si="124">+J148-(J145+J146)</f>
        <v>739.376</v>
      </c>
      <c r="K147" s="365">
        <f t="shared" si="124"/>
        <v>193.304</v>
      </c>
      <c r="L147" s="365">
        <f t="shared" si="124"/>
        <v>33.676</v>
      </c>
      <c r="M147" s="365">
        <f t="shared" si="124"/>
        <v>94.83</v>
      </c>
      <c r="N147" s="365">
        <f t="shared" si="124"/>
        <v>118.361</v>
      </c>
      <c r="O147" s="365">
        <f t="shared" si="124"/>
        <v>-26.216</v>
      </c>
      <c r="P147" s="366">
        <v>0.0</v>
      </c>
      <c r="Q147" s="366">
        <v>0.0</v>
      </c>
      <c r="R147" s="366">
        <v>0.0</v>
      </c>
      <c r="S147" s="366">
        <v>0.0</v>
      </c>
      <c r="T147" s="366">
        <v>0.0</v>
      </c>
    </row>
    <row r="148" ht="12.75" customHeight="1">
      <c r="C148" s="367" t="s">
        <v>349</v>
      </c>
      <c r="D148" s="368"/>
      <c r="E148" s="368"/>
      <c r="F148" s="368"/>
      <c r="G148" s="368"/>
      <c r="H148" s="368" t="s">
        <v>36</v>
      </c>
      <c r="I148" s="368"/>
      <c r="J148" s="369">
        <f>+$J$42</f>
        <v>747.17</v>
      </c>
      <c r="K148" s="369">
        <f>+$K$42</f>
        <v>940.701</v>
      </c>
      <c r="L148" s="369">
        <f>+$L$42</f>
        <v>976.667</v>
      </c>
      <c r="M148" s="369">
        <f>+$M$42</f>
        <v>1078.997</v>
      </c>
      <c r="N148" s="369">
        <f>+$N$42</f>
        <v>1200.955</v>
      </c>
      <c r="O148" s="369">
        <f>+$O$42</f>
        <v>1175.308</v>
      </c>
      <c r="P148" s="370">
        <f t="shared" ref="P148:T148" si="125">SUM(P145:P147)</f>
        <v>1178.882521</v>
      </c>
      <c r="Q148" s="370">
        <f t="shared" si="125"/>
        <v>1183.012611</v>
      </c>
      <c r="R148" s="370">
        <f t="shared" si="125"/>
        <v>1187.596988</v>
      </c>
      <c r="S148" s="370">
        <f t="shared" si="125"/>
        <v>1192.181365</v>
      </c>
      <c r="T148" s="370">
        <f t="shared" si="125"/>
        <v>1196.914959</v>
      </c>
    </row>
    <row r="149" ht="12.75" customHeight="1">
      <c r="C149" s="367" t="s">
        <v>350</v>
      </c>
      <c r="D149" s="368"/>
      <c r="E149" s="368"/>
      <c r="F149" s="368"/>
      <c r="G149" s="368"/>
      <c r="H149" s="368" t="s">
        <v>36</v>
      </c>
      <c r="I149" s="368"/>
      <c r="J149" s="371" t="str">
        <f>+I69</f>
        <v/>
      </c>
      <c r="K149" s="369">
        <f t="shared" ref="K149:O149" si="126">-J69</f>
        <v>-289.689</v>
      </c>
      <c r="L149" s="369">
        <f t="shared" si="126"/>
        <v>-428.88</v>
      </c>
      <c r="M149" s="369">
        <f t="shared" si="126"/>
        <v>-491.692</v>
      </c>
      <c r="N149" s="369">
        <f t="shared" si="126"/>
        <v>-564.168</v>
      </c>
      <c r="O149" s="369">
        <f t="shared" si="126"/>
        <v>-686.093</v>
      </c>
      <c r="P149" s="257">
        <f t="shared" ref="P149:T149" si="127">+O152</f>
        <v>-741.372</v>
      </c>
      <c r="Q149" s="257">
        <f t="shared" si="127"/>
        <v>-741.2568277</v>
      </c>
      <c r="R149" s="257">
        <f t="shared" si="127"/>
        <v>-740.8934103</v>
      </c>
      <c r="S149" s="257">
        <f t="shared" si="127"/>
        <v>-740.3822826</v>
      </c>
      <c r="T149" s="257">
        <f t="shared" si="127"/>
        <v>-739.7234448</v>
      </c>
    </row>
    <row r="150" ht="12.75" customHeight="1">
      <c r="C150" s="17" t="s">
        <v>342</v>
      </c>
      <c r="E150" s="364"/>
      <c r="F150" s="364"/>
      <c r="G150" s="364"/>
      <c r="H150" s="364" t="s">
        <v>36</v>
      </c>
      <c r="I150" s="364"/>
      <c r="J150" s="372">
        <f t="shared" ref="J150:O150" si="128">-J81</f>
        <v>-80.764</v>
      </c>
      <c r="K150" s="372">
        <f t="shared" si="128"/>
        <v>-58.701</v>
      </c>
      <c r="L150" s="372">
        <f t="shared" si="128"/>
        <v>-62.812</v>
      </c>
      <c r="M150" s="372">
        <f t="shared" si="128"/>
        <v>-72.476</v>
      </c>
      <c r="N150" s="372">
        <f t="shared" si="128"/>
        <v>-70.582</v>
      </c>
      <c r="O150" s="372">
        <f t="shared" si="128"/>
        <v>-76.564</v>
      </c>
      <c r="P150" s="257">
        <f t="shared" ref="P150:T150" si="129">SUM(P161,P163)</f>
        <v>0.1151722757</v>
      </c>
      <c r="Q150" s="257">
        <f t="shared" si="129"/>
        <v>0.3634174643</v>
      </c>
      <c r="R150" s="257">
        <f t="shared" si="129"/>
        <v>0.5111276441</v>
      </c>
      <c r="S150" s="257">
        <f t="shared" si="129"/>
        <v>0.6588378238</v>
      </c>
      <c r="T150" s="257">
        <f t="shared" si="129"/>
        <v>0.811355824</v>
      </c>
    </row>
    <row r="151" ht="12.75" customHeight="1">
      <c r="C151" s="17" t="s">
        <v>348</v>
      </c>
      <c r="E151" s="364"/>
      <c r="F151" s="364"/>
      <c r="G151" s="364"/>
      <c r="H151" s="364" t="s">
        <v>36</v>
      </c>
      <c r="I151" s="364"/>
      <c r="J151" s="372">
        <f t="shared" ref="J151:O151" si="130">+J152-(J149+J150)</f>
        <v>-208.925</v>
      </c>
      <c r="K151" s="372">
        <f t="shared" si="130"/>
        <v>-80.49</v>
      </c>
      <c r="L151" s="372">
        <f t="shared" si="130"/>
        <v>0</v>
      </c>
      <c r="M151" s="372">
        <f t="shared" si="130"/>
        <v>0</v>
      </c>
      <c r="N151" s="372">
        <f t="shared" si="130"/>
        <v>-51.343</v>
      </c>
      <c r="O151" s="372">
        <f t="shared" si="130"/>
        <v>21.285</v>
      </c>
      <c r="P151" s="366">
        <v>0.0</v>
      </c>
      <c r="Q151" s="366">
        <v>0.0</v>
      </c>
      <c r="R151" s="366">
        <v>0.0</v>
      </c>
      <c r="S151" s="366">
        <v>0.0</v>
      </c>
      <c r="T151" s="366">
        <v>0.0</v>
      </c>
    </row>
    <row r="152" ht="12.75" customHeight="1">
      <c r="C152" s="367" t="s">
        <v>351</v>
      </c>
      <c r="D152" s="368"/>
      <c r="E152" s="368"/>
      <c r="F152" s="368"/>
      <c r="G152" s="368"/>
      <c r="H152" s="368" t="s">
        <v>36</v>
      </c>
      <c r="I152" s="368"/>
      <c r="J152" s="369">
        <f t="shared" ref="J152:O152" si="131">-J69</f>
        <v>-289.689</v>
      </c>
      <c r="K152" s="369">
        <f t="shared" si="131"/>
        <v>-428.88</v>
      </c>
      <c r="L152" s="369">
        <f t="shared" si="131"/>
        <v>-491.692</v>
      </c>
      <c r="M152" s="369">
        <f t="shared" si="131"/>
        <v>-564.168</v>
      </c>
      <c r="N152" s="369">
        <f t="shared" si="131"/>
        <v>-686.093</v>
      </c>
      <c r="O152" s="369">
        <f t="shared" si="131"/>
        <v>-741.372</v>
      </c>
      <c r="P152" s="374">
        <f t="shared" ref="P152:T152" si="132">SUM(P149:P151)</f>
        <v>-741.2568277</v>
      </c>
      <c r="Q152" s="374">
        <f t="shared" si="132"/>
        <v>-740.8934103</v>
      </c>
      <c r="R152" s="374">
        <f t="shared" si="132"/>
        <v>-740.3822826</v>
      </c>
      <c r="S152" s="374">
        <f t="shared" si="132"/>
        <v>-739.7234448</v>
      </c>
      <c r="T152" s="374">
        <f t="shared" si="132"/>
        <v>-738.912089</v>
      </c>
    </row>
    <row r="153" ht="12.75" customHeight="1">
      <c r="C153" s="367" t="s">
        <v>304</v>
      </c>
      <c r="D153" s="368"/>
      <c r="E153" s="368"/>
      <c r="F153" s="368"/>
      <c r="G153" s="368"/>
      <c r="H153" s="368" t="s">
        <v>36</v>
      </c>
      <c r="I153" s="368"/>
      <c r="J153" s="373">
        <f t="shared" ref="J153:O153" si="133">+J93</f>
        <v>-19.613</v>
      </c>
      <c r="K153" s="373">
        <f t="shared" si="133"/>
        <v>-8.02</v>
      </c>
      <c r="L153" s="373">
        <f t="shared" si="133"/>
        <v>0</v>
      </c>
      <c r="M153" s="373">
        <f t="shared" si="133"/>
        <v>58.455</v>
      </c>
      <c r="N153" s="373">
        <f t="shared" si="133"/>
        <v>8.576</v>
      </c>
      <c r="O153" s="373">
        <f t="shared" si="133"/>
        <v>0</v>
      </c>
      <c r="P153" s="374">
        <f t="shared" ref="P153:T153" si="134">P93</f>
        <v>0</v>
      </c>
      <c r="Q153" s="374">
        <f t="shared" si="134"/>
        <v>0</v>
      </c>
      <c r="R153" s="374">
        <f t="shared" si="134"/>
        <v>0</v>
      </c>
      <c r="S153" s="374">
        <f t="shared" si="134"/>
        <v>0</v>
      </c>
      <c r="T153" s="374">
        <f t="shared" si="134"/>
        <v>0</v>
      </c>
    </row>
    <row r="154" ht="12.75" customHeight="1">
      <c r="C154" s="375" t="s">
        <v>352</v>
      </c>
      <c r="D154" s="376"/>
      <c r="E154" s="376"/>
      <c r="F154" s="376"/>
      <c r="G154" s="376"/>
      <c r="H154" s="376" t="s">
        <v>36</v>
      </c>
      <c r="I154" s="376"/>
      <c r="J154" s="377">
        <f t="shared" ref="J154:O154" si="135">+J148+J152+J153</f>
        <v>437.868</v>
      </c>
      <c r="K154" s="377">
        <f t="shared" si="135"/>
        <v>503.801</v>
      </c>
      <c r="L154" s="377">
        <f t="shared" si="135"/>
        <v>484.975</v>
      </c>
      <c r="M154" s="377">
        <f t="shared" si="135"/>
        <v>573.284</v>
      </c>
      <c r="N154" s="377">
        <f t="shared" si="135"/>
        <v>523.438</v>
      </c>
      <c r="O154" s="377">
        <f t="shared" si="135"/>
        <v>433.936</v>
      </c>
      <c r="P154" s="378">
        <f t="shared" ref="P154:T154" si="136">P148+P152+P153</f>
        <v>437.6256932</v>
      </c>
      <c r="Q154" s="378">
        <f t="shared" si="136"/>
        <v>442.119201</v>
      </c>
      <c r="R154" s="378">
        <f t="shared" si="136"/>
        <v>447.2147056</v>
      </c>
      <c r="S154" s="378">
        <f t="shared" si="136"/>
        <v>452.4579203</v>
      </c>
      <c r="T154" s="377">
        <f t="shared" si="136"/>
        <v>458.00287</v>
      </c>
    </row>
    <row r="155" ht="12.75" customHeight="1"/>
    <row r="156" ht="12.75" customHeight="1"/>
    <row r="157" ht="12.75" customHeight="1">
      <c r="C157" s="379" t="s">
        <v>353</v>
      </c>
      <c r="D157" s="290"/>
      <c r="E157" s="290"/>
      <c r="F157" s="290"/>
      <c r="G157" s="290"/>
      <c r="H157" s="177" t="s">
        <v>32</v>
      </c>
      <c r="I157" s="177"/>
      <c r="J157" s="380"/>
      <c r="K157" s="380">
        <f t="shared" ref="K157:O157" si="137">-K150/AVERAGE(K148,K145)</f>
        <v>0.06955626348</v>
      </c>
      <c r="L157" s="380">
        <f t="shared" si="137"/>
        <v>0.06551898227</v>
      </c>
      <c r="M157" s="380">
        <f t="shared" si="137"/>
        <v>0.07051346913</v>
      </c>
      <c r="N157" s="380">
        <f t="shared" si="137"/>
        <v>0.06191533857</v>
      </c>
      <c r="O157" s="380">
        <f t="shared" si="137"/>
        <v>0.06444067849</v>
      </c>
    </row>
    <row r="158" ht="12.75" customHeight="1"/>
    <row r="159" ht="12.75" customHeight="1">
      <c r="C159" s="154" t="s">
        <v>354</v>
      </c>
    </row>
    <row r="160" ht="12.75" customHeight="1"/>
    <row r="161" ht="12.75" customHeight="1">
      <c r="C161" s="171" t="s">
        <v>355</v>
      </c>
      <c r="F161" s="382">
        <f>+O157</f>
        <v>0.06444067849</v>
      </c>
      <c r="H161" s="153" t="s">
        <v>36</v>
      </c>
      <c r="I161" s="153"/>
      <c r="J161" s="383">
        <v>0.0</v>
      </c>
      <c r="K161" s="383">
        <v>0.0</v>
      </c>
      <c r="L161" s="383">
        <v>0.0</v>
      </c>
      <c r="M161" s="383">
        <v>0.0</v>
      </c>
      <c r="N161" s="383">
        <v>0.0</v>
      </c>
      <c r="O161" s="383">
        <v>0.0</v>
      </c>
      <c r="P161" s="257">
        <f t="shared" ref="P161:T161" si="138">IF($N148+$N152+$N148*$F161&lt;0,0,MIN($N148+$N152+SUM($O161:O161),$N148*$O161))</f>
        <v>0</v>
      </c>
      <c r="Q161" s="257">
        <f t="shared" si="138"/>
        <v>0</v>
      </c>
      <c r="R161" s="257">
        <f t="shared" si="138"/>
        <v>0</v>
      </c>
      <c r="S161" s="257">
        <f t="shared" si="138"/>
        <v>0</v>
      </c>
      <c r="T161" s="257">
        <f t="shared" si="138"/>
        <v>0</v>
      </c>
    </row>
    <row r="162" ht="12.75" customHeight="1">
      <c r="H162" s="153"/>
      <c r="I162" s="153"/>
    </row>
    <row r="163" ht="12.75" customHeight="1">
      <c r="C163" s="154" t="s">
        <v>356</v>
      </c>
      <c r="F163" s="382">
        <f>+F161</f>
        <v>0.06444067849</v>
      </c>
      <c r="H163" s="153" t="s">
        <v>36</v>
      </c>
      <c r="I163" s="153"/>
      <c r="P163" s="288">
        <f t="shared" ref="P163:T163" si="139">SUM(P165:P169)</f>
        <v>0.1151722757</v>
      </c>
      <c r="Q163" s="288">
        <f t="shared" si="139"/>
        <v>0.3634174643</v>
      </c>
      <c r="R163" s="288">
        <f t="shared" si="139"/>
        <v>0.5111276441</v>
      </c>
      <c r="S163" s="288">
        <f t="shared" si="139"/>
        <v>0.6588378238</v>
      </c>
      <c r="T163" s="288">
        <f t="shared" si="139"/>
        <v>0.811355824</v>
      </c>
    </row>
    <row r="164" ht="12.75" customHeight="1">
      <c r="F164" s="391"/>
      <c r="H164" s="153"/>
      <c r="I164" s="153"/>
    </row>
    <row r="165" ht="12.75" customHeight="1">
      <c r="C165" s="384" t="s">
        <v>171</v>
      </c>
      <c r="F165" s="385" t="s">
        <v>299</v>
      </c>
      <c r="H165" s="153"/>
      <c r="I165" s="153"/>
      <c r="P165" s="288">
        <f>$F166*$F163/2</f>
        <v>0.1151722757</v>
      </c>
      <c r="Q165" s="288">
        <f t="shared" ref="Q165:T165" si="140">$F166*$F163</f>
        <v>0.2303445515</v>
      </c>
      <c r="R165" s="288">
        <f t="shared" si="140"/>
        <v>0.2303445515</v>
      </c>
      <c r="S165" s="288">
        <f t="shared" si="140"/>
        <v>0.2303445515</v>
      </c>
      <c r="T165" s="288">
        <f t="shared" si="140"/>
        <v>0.2303445515</v>
      </c>
    </row>
    <row r="166" ht="12.75" customHeight="1">
      <c r="C166" s="386">
        <v>2025.0</v>
      </c>
      <c r="F166" s="387">
        <f t="array" ref="F166:F170">TRANSPOSE(P146:T146)</f>
        <v>3.57452089</v>
      </c>
      <c r="H166" s="153" t="s">
        <v>36</v>
      </c>
      <c r="I166" s="153"/>
      <c r="P166" s="388"/>
      <c r="Q166" s="288">
        <f t="shared" ref="Q166:T166" si="141">$F167*$F163/2</f>
        <v>0.1330729128</v>
      </c>
      <c r="R166" s="288">
        <f t="shared" si="141"/>
        <v>0.1330729128</v>
      </c>
      <c r="S166" s="288">
        <f t="shared" si="141"/>
        <v>0.1330729128</v>
      </c>
      <c r="T166" s="288">
        <f t="shared" si="141"/>
        <v>0.1330729128</v>
      </c>
    </row>
    <row r="167" ht="12.75" customHeight="1">
      <c r="C167" s="386">
        <v>2026.0</v>
      </c>
      <c r="F167" s="387">
        <v>4.130090369993947</v>
      </c>
      <c r="H167" s="153" t="s">
        <v>36</v>
      </c>
      <c r="I167" s="153"/>
      <c r="P167" s="388"/>
      <c r="Q167" s="388"/>
      <c r="R167" s="288">
        <f t="shared" ref="R167:T167" si="142">$F168*$F163/2</f>
        <v>0.1477101798</v>
      </c>
      <c r="S167" s="288">
        <f t="shared" si="142"/>
        <v>0.1477101798</v>
      </c>
      <c r="T167" s="288">
        <f t="shared" si="142"/>
        <v>0.1477101798</v>
      </c>
    </row>
    <row r="168" ht="12.75" customHeight="1">
      <c r="C168" s="386">
        <v>2027.0</v>
      </c>
      <c r="F168" s="387">
        <v>4.5843769247619495</v>
      </c>
      <c r="H168" s="153" t="s">
        <v>36</v>
      </c>
      <c r="I168" s="153"/>
      <c r="P168" s="388"/>
      <c r="Q168" s="388"/>
      <c r="R168" s="388"/>
      <c r="S168" s="288">
        <f t="shared" ref="S168:T168" si="143">$F169*$F163/2</f>
        <v>0.1477101798</v>
      </c>
      <c r="T168" s="288">
        <f t="shared" si="143"/>
        <v>0.1477101798</v>
      </c>
    </row>
    <row r="169" ht="12.75" customHeight="1">
      <c r="C169" s="386">
        <v>2028.0</v>
      </c>
      <c r="F169" s="387">
        <v>4.5843769247619495</v>
      </c>
      <c r="H169" s="153" t="s">
        <v>36</v>
      </c>
      <c r="I169" s="153"/>
      <c r="P169" s="388"/>
      <c r="Q169" s="388"/>
      <c r="R169" s="388"/>
      <c r="S169" s="388"/>
      <c r="T169" s="288">
        <f>$F170*$F163/2</f>
        <v>0.1525180002</v>
      </c>
    </row>
    <row r="170" ht="12.75" customHeight="1">
      <c r="C170" s="392">
        <v>2029.0</v>
      </c>
      <c r="F170" s="393">
        <v>4.733593863898696</v>
      </c>
      <c r="H170" s="391" t="s">
        <v>36</v>
      </c>
      <c r="I170" s="391"/>
    </row>
    <row r="171" ht="12.75" customHeight="1"/>
    <row r="172" ht="12.75" customHeight="1">
      <c r="C172" s="196" t="s">
        <v>358</v>
      </c>
    </row>
    <row r="173" ht="12.75" customHeight="1">
      <c r="C173" s="360" t="s">
        <v>347</v>
      </c>
      <c r="D173" s="361"/>
      <c r="E173" s="361"/>
      <c r="F173" s="361"/>
      <c r="G173" s="361"/>
      <c r="H173" s="361" t="s">
        <v>36</v>
      </c>
      <c r="I173" s="361"/>
      <c r="J173" s="360" t="str">
        <f>+$E$41</f>
        <v/>
      </c>
      <c r="K173" s="362">
        <f>+$J$43</f>
        <v>11.773</v>
      </c>
      <c r="L173" s="362">
        <f>+$K$43</f>
        <v>22.281</v>
      </c>
      <c r="M173" s="362">
        <f>+$L$43</f>
        <v>22.281</v>
      </c>
      <c r="N173" s="362">
        <f>+$M$43</f>
        <v>0.259</v>
      </c>
      <c r="O173" s="362">
        <f>+$N$43</f>
        <v>0.68</v>
      </c>
      <c r="P173" s="363">
        <f t="shared" ref="P173:T173" si="144">+O176</f>
        <v>0.68</v>
      </c>
      <c r="Q173" s="363">
        <f t="shared" si="144"/>
        <v>0.68</v>
      </c>
      <c r="R173" s="363">
        <f t="shared" si="144"/>
        <v>0.68</v>
      </c>
      <c r="S173" s="363">
        <f t="shared" si="144"/>
        <v>0.68</v>
      </c>
      <c r="T173" s="363">
        <f t="shared" si="144"/>
        <v>0.68</v>
      </c>
    </row>
    <row r="174" ht="12.75" customHeight="1">
      <c r="C174" s="17" t="s">
        <v>299</v>
      </c>
      <c r="E174" s="364"/>
      <c r="F174" s="364"/>
      <c r="G174" s="364"/>
      <c r="H174" s="364" t="s">
        <v>36</v>
      </c>
      <c r="I174" s="364"/>
      <c r="J174" s="365">
        <f>+$J$55</f>
        <v>0</v>
      </c>
      <c r="K174" s="365">
        <f>+$K$55</f>
        <v>0</v>
      </c>
      <c r="L174" s="365">
        <f>+$L$55</f>
        <v>0</v>
      </c>
      <c r="M174" s="365">
        <f>+$M$55</f>
        <v>0</v>
      </c>
      <c r="N174" s="365">
        <f>+$N$55</f>
        <v>0</v>
      </c>
      <c r="O174" s="365">
        <f>+$O$55</f>
        <v>0</v>
      </c>
      <c r="P174" s="257">
        <f t="shared" ref="P174:T174" si="145">P55</f>
        <v>0</v>
      </c>
      <c r="Q174" s="257">
        <f t="shared" si="145"/>
        <v>0</v>
      </c>
      <c r="R174" s="257">
        <f t="shared" si="145"/>
        <v>0</v>
      </c>
      <c r="S174" s="257">
        <f t="shared" si="145"/>
        <v>0</v>
      </c>
      <c r="T174" s="257">
        <f t="shared" si="145"/>
        <v>0</v>
      </c>
    </row>
    <row r="175" ht="12.75" customHeight="1">
      <c r="C175" s="17" t="s">
        <v>348</v>
      </c>
      <c r="E175" s="364"/>
      <c r="F175" s="364"/>
      <c r="G175" s="364"/>
      <c r="H175" s="364" t="s">
        <v>36</v>
      </c>
      <c r="I175" s="364"/>
      <c r="J175" s="365">
        <f t="shared" ref="J175:O175" si="146">+J176-(J173+J174)</f>
        <v>11.773</v>
      </c>
      <c r="K175" s="365">
        <f t="shared" si="146"/>
        <v>10.508</v>
      </c>
      <c r="L175" s="365">
        <f t="shared" si="146"/>
        <v>0</v>
      </c>
      <c r="M175" s="365">
        <f t="shared" si="146"/>
        <v>-22.022</v>
      </c>
      <c r="N175" s="365">
        <f t="shared" si="146"/>
        <v>0.421</v>
      </c>
      <c r="O175" s="365">
        <f t="shared" si="146"/>
        <v>0</v>
      </c>
      <c r="P175" s="366">
        <v>0.0</v>
      </c>
      <c r="Q175" s="366">
        <v>0.0</v>
      </c>
      <c r="R175" s="366">
        <v>0.0</v>
      </c>
      <c r="S175" s="366">
        <v>0.0</v>
      </c>
      <c r="T175" s="366">
        <v>0.0</v>
      </c>
    </row>
    <row r="176" ht="12.75" customHeight="1">
      <c r="C176" s="367" t="s">
        <v>349</v>
      </c>
      <c r="D176" s="368"/>
      <c r="E176" s="368"/>
      <c r="F176" s="368"/>
      <c r="G176" s="368"/>
      <c r="H176" s="368" t="s">
        <v>36</v>
      </c>
      <c r="I176" s="368"/>
      <c r="J176" s="369">
        <f>+$J$43</f>
        <v>11.773</v>
      </c>
      <c r="K176" s="369">
        <f>+$K$43</f>
        <v>22.281</v>
      </c>
      <c r="L176" s="369">
        <f>+$L$43</f>
        <v>22.281</v>
      </c>
      <c r="M176" s="369">
        <f>+$M$43</f>
        <v>0.259</v>
      </c>
      <c r="N176" s="369">
        <f>+$N$43</f>
        <v>0.68</v>
      </c>
      <c r="O176" s="369">
        <f>+$O$43</f>
        <v>0.68</v>
      </c>
      <c r="P176" s="370">
        <f t="shared" ref="P176:T176" si="147">SUM(P173:P175)</f>
        <v>0.68</v>
      </c>
      <c r="Q176" s="370">
        <f t="shared" si="147"/>
        <v>0.68</v>
      </c>
      <c r="R176" s="370">
        <f t="shared" si="147"/>
        <v>0.68</v>
      </c>
      <c r="S176" s="370">
        <f t="shared" si="147"/>
        <v>0.68</v>
      </c>
      <c r="T176" s="370">
        <f t="shared" si="147"/>
        <v>0.68</v>
      </c>
    </row>
    <row r="177" ht="12.75" customHeight="1">
      <c r="C177" s="367" t="s">
        <v>350</v>
      </c>
      <c r="D177" s="368"/>
      <c r="E177" s="368"/>
      <c r="F177" s="368"/>
      <c r="G177" s="368"/>
      <c r="H177" s="368" t="s">
        <v>36</v>
      </c>
      <c r="I177" s="368"/>
      <c r="J177" s="371">
        <f t="shared" ref="J177:O177" si="148">-I70</f>
        <v>0</v>
      </c>
      <c r="K177" s="369">
        <f t="shared" si="148"/>
        <v>-11.773</v>
      </c>
      <c r="L177" s="369">
        <f t="shared" si="148"/>
        <v>-22.281</v>
      </c>
      <c r="M177" s="369">
        <f t="shared" si="148"/>
        <v>-22.281</v>
      </c>
      <c r="N177" s="369">
        <f t="shared" si="148"/>
        <v>-0.259</v>
      </c>
      <c r="O177" s="369">
        <f t="shared" si="148"/>
        <v>-0.68</v>
      </c>
      <c r="P177" s="257">
        <f t="shared" ref="P177:T177" si="149">+O180</f>
        <v>-0.68</v>
      </c>
      <c r="Q177" s="257">
        <f t="shared" si="149"/>
        <v>-0.68</v>
      </c>
      <c r="R177" s="257">
        <f t="shared" si="149"/>
        <v>-0.68</v>
      </c>
      <c r="S177" s="257">
        <f t="shared" si="149"/>
        <v>-0.68</v>
      </c>
      <c r="T177" s="257">
        <f t="shared" si="149"/>
        <v>-0.68</v>
      </c>
    </row>
    <row r="178" ht="12.75" customHeight="1">
      <c r="C178" s="17" t="s">
        <v>342</v>
      </c>
      <c r="E178" s="364"/>
      <c r="F178" s="364"/>
      <c r="G178" s="364"/>
      <c r="H178" s="364" t="s">
        <v>36</v>
      </c>
      <c r="I178" s="364"/>
      <c r="J178" s="372">
        <f>+J82</f>
        <v>0.004</v>
      </c>
      <c r="K178" s="372">
        <f t="shared" ref="K178:O178" si="150">-K82</f>
        <v>0</v>
      </c>
      <c r="L178" s="372">
        <f t="shared" si="150"/>
        <v>0</v>
      </c>
      <c r="M178" s="372">
        <f t="shared" si="150"/>
        <v>0</v>
      </c>
      <c r="N178" s="372">
        <f t="shared" si="150"/>
        <v>0</v>
      </c>
      <c r="O178" s="372">
        <f t="shared" si="150"/>
        <v>0</v>
      </c>
      <c r="P178" s="257">
        <f t="shared" ref="P178:T178" si="151">SUM(P189,P191)</f>
        <v>0</v>
      </c>
      <c r="Q178" s="257">
        <f t="shared" si="151"/>
        <v>0</v>
      </c>
      <c r="R178" s="257">
        <f t="shared" si="151"/>
        <v>0</v>
      </c>
      <c r="S178" s="257">
        <f t="shared" si="151"/>
        <v>0</v>
      </c>
      <c r="T178" s="257">
        <f t="shared" si="151"/>
        <v>0</v>
      </c>
    </row>
    <row r="179" ht="12.75" customHeight="1">
      <c r="C179" s="17" t="s">
        <v>348</v>
      </c>
      <c r="E179" s="364"/>
      <c r="F179" s="364"/>
      <c r="G179" s="364"/>
      <c r="H179" s="364" t="s">
        <v>36</v>
      </c>
      <c r="I179" s="364"/>
      <c r="J179" s="372">
        <f t="shared" ref="J179:O179" si="152">+J180-(J177+J178)</f>
        <v>-11.777</v>
      </c>
      <c r="K179" s="372">
        <f t="shared" si="152"/>
        <v>-10.508</v>
      </c>
      <c r="L179" s="372">
        <f t="shared" si="152"/>
        <v>0</v>
      </c>
      <c r="M179" s="372">
        <f t="shared" si="152"/>
        <v>22.022</v>
      </c>
      <c r="N179" s="372">
        <f t="shared" si="152"/>
        <v>-0.421</v>
      </c>
      <c r="O179" s="372">
        <f t="shared" si="152"/>
        <v>0</v>
      </c>
      <c r="P179" s="366">
        <v>0.0</v>
      </c>
      <c r="Q179" s="366">
        <v>0.0</v>
      </c>
      <c r="R179" s="366">
        <v>0.0</v>
      </c>
      <c r="S179" s="366">
        <v>0.0</v>
      </c>
      <c r="T179" s="366">
        <v>0.0</v>
      </c>
    </row>
    <row r="180" ht="12.75" customHeight="1">
      <c r="C180" s="367" t="s">
        <v>351</v>
      </c>
      <c r="D180" s="368"/>
      <c r="E180" s="368"/>
      <c r="F180" s="368"/>
      <c r="G180" s="368"/>
      <c r="H180" s="368" t="s">
        <v>36</v>
      </c>
      <c r="I180" s="368"/>
      <c r="J180" s="373">
        <f t="shared" ref="J180:O180" si="153">-J70</f>
        <v>-11.773</v>
      </c>
      <c r="K180" s="373">
        <f t="shared" si="153"/>
        <v>-22.281</v>
      </c>
      <c r="L180" s="373">
        <f t="shared" si="153"/>
        <v>-22.281</v>
      </c>
      <c r="M180" s="373">
        <f t="shared" si="153"/>
        <v>-0.259</v>
      </c>
      <c r="N180" s="373">
        <f t="shared" si="153"/>
        <v>-0.68</v>
      </c>
      <c r="O180" s="373">
        <f t="shared" si="153"/>
        <v>-0.68</v>
      </c>
      <c r="P180" s="374">
        <f t="shared" ref="P180:T180" si="154">SUM(P177:P179)</f>
        <v>-0.68</v>
      </c>
      <c r="Q180" s="374">
        <f t="shared" si="154"/>
        <v>-0.68</v>
      </c>
      <c r="R180" s="374">
        <f t="shared" si="154"/>
        <v>-0.68</v>
      </c>
      <c r="S180" s="374">
        <f t="shared" si="154"/>
        <v>-0.68</v>
      </c>
      <c r="T180" s="374">
        <f t="shared" si="154"/>
        <v>-0.68</v>
      </c>
    </row>
    <row r="181" ht="12.75" customHeight="1">
      <c r="C181" s="367" t="s">
        <v>304</v>
      </c>
      <c r="D181" s="368"/>
      <c r="E181" s="368"/>
      <c r="F181" s="368"/>
      <c r="G181" s="368"/>
      <c r="H181" s="368" t="s">
        <v>36</v>
      </c>
      <c r="I181" s="368"/>
      <c r="J181" s="373">
        <f t="shared" ref="J181:O181" si="155">+J94</f>
        <v>0</v>
      </c>
      <c r="K181" s="373">
        <f t="shared" si="155"/>
        <v>0</v>
      </c>
      <c r="L181" s="373">
        <f t="shared" si="155"/>
        <v>0</v>
      </c>
      <c r="M181" s="373">
        <f t="shared" si="155"/>
        <v>0</v>
      </c>
      <c r="N181" s="373">
        <f t="shared" si="155"/>
        <v>0</v>
      </c>
      <c r="O181" s="373">
        <f t="shared" si="155"/>
        <v>0</v>
      </c>
      <c r="P181" s="374">
        <f>-P94</f>
        <v>0</v>
      </c>
      <c r="Q181" s="374">
        <f>Q94</f>
        <v>0</v>
      </c>
      <c r="R181" s="374">
        <f>-R94</f>
        <v>0</v>
      </c>
      <c r="S181" s="374">
        <f>S94</f>
        <v>0</v>
      </c>
      <c r="T181" s="374">
        <f>-T94</f>
        <v>0</v>
      </c>
    </row>
    <row r="182" ht="12.75" customHeight="1">
      <c r="C182" s="375" t="s">
        <v>352</v>
      </c>
      <c r="D182" s="376"/>
      <c r="E182" s="376"/>
      <c r="F182" s="376"/>
      <c r="G182" s="376"/>
      <c r="H182" s="376" t="s">
        <v>36</v>
      </c>
      <c r="I182" s="376"/>
      <c r="J182" s="377">
        <f t="shared" ref="J182:O182" si="156">+J176+J180+J181</f>
        <v>0</v>
      </c>
      <c r="K182" s="377">
        <f t="shared" si="156"/>
        <v>0</v>
      </c>
      <c r="L182" s="377">
        <f t="shared" si="156"/>
        <v>0</v>
      </c>
      <c r="M182" s="377">
        <f t="shared" si="156"/>
        <v>0</v>
      </c>
      <c r="N182" s="377">
        <f t="shared" si="156"/>
        <v>0</v>
      </c>
      <c r="O182" s="377">
        <f t="shared" si="156"/>
        <v>0</v>
      </c>
      <c r="P182" s="378">
        <f t="shared" ref="P182:T182" si="157">P176+P180+P181</f>
        <v>0</v>
      </c>
      <c r="Q182" s="378">
        <f t="shared" si="157"/>
        <v>0</v>
      </c>
      <c r="R182" s="378">
        <f t="shared" si="157"/>
        <v>0</v>
      </c>
      <c r="S182" s="378">
        <f t="shared" si="157"/>
        <v>0</v>
      </c>
      <c r="T182" s="377">
        <f t="shared" si="157"/>
        <v>0</v>
      </c>
    </row>
    <row r="183" ht="12.75" customHeight="1"/>
    <row r="184" ht="12.75" customHeight="1"/>
    <row r="185" ht="12.75" customHeight="1">
      <c r="C185" s="379" t="s">
        <v>353</v>
      </c>
      <c r="D185" s="290"/>
      <c r="E185" s="290"/>
      <c r="F185" s="290"/>
      <c r="G185" s="290"/>
      <c r="H185" s="290" t="s">
        <v>32</v>
      </c>
      <c r="I185" s="290"/>
      <c r="J185" s="380"/>
      <c r="K185" s="380">
        <f t="shared" ref="K185:O185" si="158">-K178/AVERAGE(K176,K173)</f>
        <v>0</v>
      </c>
      <c r="L185" s="380">
        <f t="shared" si="158"/>
        <v>0</v>
      </c>
      <c r="M185" s="380">
        <f t="shared" si="158"/>
        <v>0</v>
      </c>
      <c r="N185" s="380">
        <f t="shared" si="158"/>
        <v>0</v>
      </c>
      <c r="O185" s="380">
        <f t="shared" si="158"/>
        <v>0</v>
      </c>
    </row>
    <row r="186" ht="12.75" customHeight="1"/>
    <row r="187" ht="12.75" customHeight="1">
      <c r="C187" s="154" t="s">
        <v>354</v>
      </c>
    </row>
    <row r="188" ht="12.75" customHeight="1"/>
    <row r="189" ht="12.75" customHeight="1">
      <c r="C189" s="171" t="s">
        <v>355</v>
      </c>
      <c r="F189" s="382">
        <f>+O185</f>
        <v>0</v>
      </c>
      <c r="H189" s="153" t="s">
        <v>36</v>
      </c>
      <c r="I189" s="153"/>
      <c r="J189" s="383">
        <v>0.0</v>
      </c>
      <c r="K189" s="383">
        <v>0.0</v>
      </c>
      <c r="L189" s="383">
        <v>0.0</v>
      </c>
      <c r="M189" s="383">
        <v>0.0</v>
      </c>
      <c r="N189" s="383">
        <v>0.0</v>
      </c>
      <c r="O189" s="383">
        <v>0.0</v>
      </c>
      <c r="P189" s="257">
        <f t="shared" ref="P189:T189" si="159">IF($N176+$N180+$N176*$F189&lt;0,0,MIN($N176+$N180+SUM($O189:O189),$N176*$O189))</f>
        <v>0</v>
      </c>
      <c r="Q189" s="257">
        <f t="shared" si="159"/>
        <v>0</v>
      </c>
      <c r="R189" s="257">
        <f t="shared" si="159"/>
        <v>0</v>
      </c>
      <c r="S189" s="257">
        <f t="shared" si="159"/>
        <v>0</v>
      </c>
      <c r="T189" s="257">
        <f t="shared" si="159"/>
        <v>0</v>
      </c>
    </row>
    <row r="190" ht="12.75" customHeight="1">
      <c r="H190" s="153"/>
      <c r="I190" s="153"/>
    </row>
    <row r="191" ht="12.75" customHeight="1">
      <c r="C191" s="154" t="s">
        <v>356</v>
      </c>
      <c r="F191" s="382">
        <f>+F189</f>
        <v>0</v>
      </c>
      <c r="H191" s="153" t="s">
        <v>36</v>
      </c>
      <c r="I191" s="153"/>
      <c r="P191" s="288">
        <f t="shared" ref="P191:T191" si="160">SUM(P193:P197)</f>
        <v>0</v>
      </c>
      <c r="Q191" s="288">
        <f t="shared" si="160"/>
        <v>0</v>
      </c>
      <c r="R191" s="288">
        <f t="shared" si="160"/>
        <v>0</v>
      </c>
      <c r="S191" s="288">
        <f t="shared" si="160"/>
        <v>0</v>
      </c>
      <c r="T191" s="288">
        <f t="shared" si="160"/>
        <v>0</v>
      </c>
    </row>
    <row r="192" ht="12.75" customHeight="1">
      <c r="F192" s="391"/>
      <c r="H192" s="153"/>
      <c r="I192" s="153"/>
    </row>
    <row r="193" ht="12.75" customHeight="1">
      <c r="C193" s="384" t="s">
        <v>171</v>
      </c>
      <c r="F193" s="385" t="s">
        <v>299</v>
      </c>
      <c r="H193" s="153"/>
      <c r="I193" s="153"/>
      <c r="P193" s="288">
        <f>$F194*$F191/2</f>
        <v>0</v>
      </c>
      <c r="Q193" s="288">
        <f t="shared" ref="Q193:T193" si="161">$F194*$F191</f>
        <v>0</v>
      </c>
      <c r="R193" s="288">
        <f t="shared" si="161"/>
        <v>0</v>
      </c>
      <c r="S193" s="288">
        <f t="shared" si="161"/>
        <v>0</v>
      </c>
      <c r="T193" s="288">
        <f t="shared" si="161"/>
        <v>0</v>
      </c>
    </row>
    <row r="194" ht="12.75" customHeight="1">
      <c r="C194" s="386">
        <v>2025.0</v>
      </c>
      <c r="F194" s="387">
        <f t="array" ref="F194:F198">TRANSPOSE(P174:T174)</f>
        <v>0</v>
      </c>
      <c r="H194" s="153" t="s">
        <v>36</v>
      </c>
      <c r="I194" s="153"/>
      <c r="P194" s="388"/>
      <c r="Q194" s="288">
        <f t="shared" ref="Q194:T194" si="162">$F195*$F191/2</f>
        <v>0</v>
      </c>
      <c r="R194" s="288">
        <f t="shared" si="162"/>
        <v>0</v>
      </c>
      <c r="S194" s="288">
        <f t="shared" si="162"/>
        <v>0</v>
      </c>
      <c r="T194" s="288">
        <f t="shared" si="162"/>
        <v>0</v>
      </c>
    </row>
    <row r="195" ht="12.75" customHeight="1">
      <c r="C195" s="386">
        <v>2026.0</v>
      </c>
      <c r="F195" s="387">
        <v>0.0</v>
      </c>
      <c r="H195" s="153" t="s">
        <v>36</v>
      </c>
      <c r="I195" s="153"/>
      <c r="P195" s="388"/>
      <c r="Q195" s="388"/>
      <c r="R195" s="288">
        <f t="shared" ref="R195:T195" si="163">$F196*$F191/2</f>
        <v>0</v>
      </c>
      <c r="S195" s="288">
        <f t="shared" si="163"/>
        <v>0</v>
      </c>
      <c r="T195" s="288">
        <f t="shared" si="163"/>
        <v>0</v>
      </c>
    </row>
    <row r="196" ht="12.75" customHeight="1">
      <c r="C196" s="386">
        <v>2027.0</v>
      </c>
      <c r="F196" s="387">
        <v>0.0</v>
      </c>
      <c r="H196" s="153" t="s">
        <v>36</v>
      </c>
      <c r="I196" s="153"/>
      <c r="P196" s="388"/>
      <c r="Q196" s="388"/>
      <c r="R196" s="388"/>
      <c r="S196" s="288">
        <f t="shared" ref="S196:T196" si="164">$F197*$F191/2</f>
        <v>0</v>
      </c>
      <c r="T196" s="288">
        <f t="shared" si="164"/>
        <v>0</v>
      </c>
    </row>
    <row r="197" ht="12.75" customHeight="1">
      <c r="C197" s="386">
        <v>2028.0</v>
      </c>
      <c r="F197" s="387">
        <v>0.0</v>
      </c>
      <c r="H197" s="153" t="s">
        <v>36</v>
      </c>
      <c r="I197" s="153"/>
      <c r="P197" s="388"/>
      <c r="Q197" s="388"/>
      <c r="R197" s="388"/>
      <c r="S197" s="388"/>
      <c r="T197" s="288">
        <f>$F198*$F191/2</f>
        <v>0</v>
      </c>
    </row>
    <row r="198" ht="12.75" customHeight="1">
      <c r="C198" s="392">
        <v>2029.0</v>
      </c>
      <c r="F198" s="393">
        <v>0.0</v>
      </c>
      <c r="H198" s="391" t="s">
        <v>36</v>
      </c>
      <c r="I198" s="391"/>
    </row>
    <row r="199" ht="12.75" customHeight="1"/>
    <row r="200" ht="12.75" customHeight="1">
      <c r="C200" s="196" t="s">
        <v>359</v>
      </c>
    </row>
    <row r="201" ht="12.75" customHeight="1">
      <c r="C201" s="360" t="s">
        <v>347</v>
      </c>
      <c r="D201" s="361"/>
      <c r="E201" s="361"/>
      <c r="F201" s="361"/>
      <c r="G201" s="361"/>
      <c r="H201" s="361" t="s">
        <v>36</v>
      </c>
      <c r="I201" s="361"/>
      <c r="J201" s="360" t="str">
        <f>+$E$41</f>
        <v/>
      </c>
      <c r="K201" s="362">
        <f>+$J$44</f>
        <v>167.681</v>
      </c>
      <c r="L201" s="362">
        <f>+$K$44</f>
        <v>285.931</v>
      </c>
      <c r="M201" s="362">
        <f>+$L$44</f>
        <v>300.338</v>
      </c>
      <c r="N201" s="362">
        <f>+$M$44</f>
        <v>193.491</v>
      </c>
      <c r="O201" s="362">
        <f>+$N$44</f>
        <v>187.986</v>
      </c>
      <c r="P201" s="363">
        <f t="shared" ref="P201:T201" si="165">+O204</f>
        <v>178.08</v>
      </c>
      <c r="Q201" s="363">
        <f t="shared" si="165"/>
        <v>184.077518</v>
      </c>
      <c r="R201" s="363">
        <f t="shared" si="165"/>
        <v>191.0071994</v>
      </c>
      <c r="S201" s="363">
        <f t="shared" si="165"/>
        <v>198.6991066</v>
      </c>
      <c r="T201" s="363">
        <f t="shared" si="165"/>
        <v>206.3910138</v>
      </c>
    </row>
    <row r="202" ht="12.75" customHeight="1">
      <c r="C202" s="17" t="s">
        <v>299</v>
      </c>
      <c r="E202" s="364"/>
      <c r="F202" s="364"/>
      <c r="G202" s="364"/>
      <c r="H202" s="364" t="s">
        <v>36</v>
      </c>
      <c r="I202" s="364"/>
      <c r="J202" s="365">
        <f>+$J$56</f>
        <v>7.593</v>
      </c>
      <c r="K202" s="365">
        <f>+$K$56</f>
        <v>10.596</v>
      </c>
      <c r="L202" s="365">
        <f>+$L$56</f>
        <v>19.312</v>
      </c>
      <c r="M202" s="365">
        <f>+$M$56</f>
        <v>16.323</v>
      </c>
      <c r="N202" s="365">
        <f>+$N$56</f>
        <v>1.832</v>
      </c>
      <c r="O202" s="365">
        <f>+$O$56</f>
        <v>3.236</v>
      </c>
      <c r="P202" s="257">
        <f t="shared" ref="P202:T202" si="166">P56</f>
        <v>5.997517957</v>
      </c>
      <c r="Q202" s="257">
        <f t="shared" si="166"/>
        <v>6.929681465</v>
      </c>
      <c r="R202" s="257">
        <f t="shared" si="166"/>
        <v>7.691907188</v>
      </c>
      <c r="S202" s="257">
        <f t="shared" si="166"/>
        <v>7.691907188</v>
      </c>
      <c r="T202" s="257">
        <f t="shared" si="166"/>
        <v>7.942271166</v>
      </c>
    </row>
    <row r="203" ht="12.75" customHeight="1">
      <c r="C203" s="17" t="s">
        <v>348</v>
      </c>
      <c r="E203" s="364"/>
      <c r="F203" s="364"/>
      <c r="G203" s="364"/>
      <c r="H203" s="364" t="s">
        <v>36</v>
      </c>
      <c r="I203" s="364"/>
      <c r="J203" s="365">
        <f t="shared" ref="J203:O203" si="167">+J204-(J201+J202)</f>
        <v>160.088</v>
      </c>
      <c r="K203" s="365">
        <f t="shared" si="167"/>
        <v>107.654</v>
      </c>
      <c r="L203" s="365">
        <f t="shared" si="167"/>
        <v>-4.905</v>
      </c>
      <c r="M203" s="365">
        <f t="shared" si="167"/>
        <v>-123.17</v>
      </c>
      <c r="N203" s="365">
        <f t="shared" si="167"/>
        <v>-7.337</v>
      </c>
      <c r="O203" s="365">
        <f t="shared" si="167"/>
        <v>-13.142</v>
      </c>
      <c r="P203" s="366">
        <v>0.0</v>
      </c>
      <c r="Q203" s="366">
        <v>0.0</v>
      </c>
      <c r="R203" s="366">
        <v>0.0</v>
      </c>
      <c r="S203" s="366">
        <v>0.0</v>
      </c>
      <c r="T203" s="366">
        <v>0.0</v>
      </c>
    </row>
    <row r="204" ht="12.75" customHeight="1">
      <c r="C204" s="367" t="s">
        <v>349</v>
      </c>
      <c r="D204" s="368"/>
      <c r="E204" s="368"/>
      <c r="F204" s="368"/>
      <c r="G204" s="368"/>
      <c r="H204" s="368" t="s">
        <v>36</v>
      </c>
      <c r="I204" s="368"/>
      <c r="J204" s="369">
        <f>+$J$44</f>
        <v>167.681</v>
      </c>
      <c r="K204" s="369">
        <f>+$K$44</f>
        <v>285.931</v>
      </c>
      <c r="L204" s="369">
        <f>+$L$44</f>
        <v>300.338</v>
      </c>
      <c r="M204" s="369">
        <f>+$M$44</f>
        <v>193.491</v>
      </c>
      <c r="N204" s="369">
        <f>+$N$44</f>
        <v>187.986</v>
      </c>
      <c r="O204" s="369">
        <f>+$O$44</f>
        <v>178.08</v>
      </c>
      <c r="P204" s="370">
        <f t="shared" ref="P204:T204" si="168">SUM(P201:P203)</f>
        <v>184.077518</v>
      </c>
      <c r="Q204" s="370">
        <f t="shared" si="168"/>
        <v>191.0071994</v>
      </c>
      <c r="R204" s="370">
        <f t="shared" si="168"/>
        <v>198.6991066</v>
      </c>
      <c r="S204" s="370">
        <f t="shared" si="168"/>
        <v>206.3910138</v>
      </c>
      <c r="T204" s="370">
        <f t="shared" si="168"/>
        <v>214.333285</v>
      </c>
    </row>
    <row r="205" ht="12.75" customHeight="1">
      <c r="C205" s="367" t="s">
        <v>350</v>
      </c>
      <c r="D205" s="368"/>
      <c r="E205" s="368"/>
      <c r="F205" s="368"/>
      <c r="G205" s="368"/>
      <c r="H205" s="368" t="s">
        <v>36</v>
      </c>
      <c r="I205" s="368"/>
      <c r="J205" s="371">
        <f t="shared" ref="J205:O205" si="169">-I71</f>
        <v>0</v>
      </c>
      <c r="K205" s="369">
        <f t="shared" si="169"/>
        <v>-137.415</v>
      </c>
      <c r="L205" s="369">
        <f t="shared" si="169"/>
        <v>-249.647</v>
      </c>
      <c r="M205" s="369">
        <f t="shared" si="169"/>
        <v>-248.315</v>
      </c>
      <c r="N205" s="369">
        <f t="shared" si="169"/>
        <v>-140.06</v>
      </c>
      <c r="O205" s="369">
        <f t="shared" si="169"/>
        <v>-147.157</v>
      </c>
      <c r="P205" s="257">
        <f t="shared" ref="P205:T205" si="170">+O208</f>
        <v>-149.201</v>
      </c>
      <c r="Q205" s="257">
        <f t="shared" si="170"/>
        <v>-148.9852266</v>
      </c>
      <c r="R205" s="257">
        <f t="shared" si="170"/>
        <v>-148.3043698</v>
      </c>
      <c r="S205" s="257">
        <f t="shared" si="170"/>
        <v>-147.3467803</v>
      </c>
      <c r="T205" s="257">
        <f t="shared" si="170"/>
        <v>-146.1124582</v>
      </c>
    </row>
    <row r="206" ht="12.75" customHeight="1">
      <c r="C206" s="17" t="s">
        <v>342</v>
      </c>
      <c r="E206" s="364"/>
      <c r="F206" s="364"/>
      <c r="G206" s="364"/>
      <c r="H206" s="364" t="s">
        <v>36</v>
      </c>
      <c r="I206" s="364"/>
      <c r="J206" s="372">
        <f t="shared" ref="J206:O206" si="171">-J83</f>
        <v>-8.13</v>
      </c>
      <c r="K206" s="372">
        <f t="shared" si="171"/>
        <v>-7.469</v>
      </c>
      <c r="L206" s="372">
        <f t="shared" si="171"/>
        <v>-9.641</v>
      </c>
      <c r="M206" s="372">
        <f t="shared" si="171"/>
        <v>-13.414</v>
      </c>
      <c r="N206" s="372">
        <f t="shared" si="171"/>
        <v>-13.73</v>
      </c>
      <c r="O206" s="372">
        <f t="shared" si="171"/>
        <v>-13.17</v>
      </c>
      <c r="P206" s="257">
        <f t="shared" ref="P206:T206" si="172">SUM(P217,P219)</f>
        <v>0.2157734165</v>
      </c>
      <c r="Q206" s="257">
        <f t="shared" si="172"/>
        <v>0.6808568069</v>
      </c>
      <c r="R206" s="257">
        <f t="shared" si="172"/>
        <v>0.9575894662</v>
      </c>
      <c r="S206" s="257">
        <f t="shared" si="172"/>
        <v>1.234322126</v>
      </c>
      <c r="T206" s="257">
        <f t="shared" si="172"/>
        <v>1.520062159</v>
      </c>
    </row>
    <row r="207" ht="12.75" customHeight="1">
      <c r="C207" s="17" t="s">
        <v>348</v>
      </c>
      <c r="E207" s="364"/>
      <c r="F207" s="364"/>
      <c r="G207" s="364"/>
      <c r="H207" s="364" t="s">
        <v>36</v>
      </c>
      <c r="I207" s="364"/>
      <c r="J207" s="372">
        <f t="shared" ref="J207:O207" si="173">+J208-(J205+J206)</f>
        <v>-129.285</v>
      </c>
      <c r="K207" s="372">
        <f t="shared" si="173"/>
        <v>-104.763</v>
      </c>
      <c r="L207" s="372">
        <f t="shared" si="173"/>
        <v>10.973</v>
      </c>
      <c r="M207" s="372">
        <f t="shared" si="173"/>
        <v>121.669</v>
      </c>
      <c r="N207" s="372">
        <f t="shared" si="173"/>
        <v>6.633</v>
      </c>
      <c r="O207" s="372">
        <f t="shared" si="173"/>
        <v>11.126</v>
      </c>
      <c r="P207" s="366">
        <v>0.0</v>
      </c>
      <c r="Q207" s="366">
        <v>0.0</v>
      </c>
      <c r="R207" s="366">
        <v>0.0</v>
      </c>
      <c r="S207" s="366">
        <v>0.0</v>
      </c>
      <c r="T207" s="366">
        <v>0.0</v>
      </c>
    </row>
    <row r="208" ht="12.75" customHeight="1">
      <c r="C208" s="367" t="s">
        <v>351</v>
      </c>
      <c r="D208" s="368"/>
      <c r="E208" s="368"/>
      <c r="F208" s="368"/>
      <c r="G208" s="368"/>
      <c r="H208" s="368" t="s">
        <v>36</v>
      </c>
      <c r="I208" s="368"/>
      <c r="J208" s="373">
        <f t="shared" ref="J208:O208" si="174">-J71</f>
        <v>-137.415</v>
      </c>
      <c r="K208" s="373">
        <f t="shared" si="174"/>
        <v>-249.647</v>
      </c>
      <c r="L208" s="373">
        <f t="shared" si="174"/>
        <v>-248.315</v>
      </c>
      <c r="M208" s="373">
        <f t="shared" si="174"/>
        <v>-140.06</v>
      </c>
      <c r="N208" s="373">
        <f t="shared" si="174"/>
        <v>-147.157</v>
      </c>
      <c r="O208" s="373">
        <f t="shared" si="174"/>
        <v>-149.201</v>
      </c>
      <c r="P208" s="374">
        <f t="shared" ref="P208:T208" si="175">SUM(P205:P207)</f>
        <v>-148.9852266</v>
      </c>
      <c r="Q208" s="374">
        <f t="shared" si="175"/>
        <v>-148.3043698</v>
      </c>
      <c r="R208" s="374">
        <f t="shared" si="175"/>
        <v>-147.3467803</v>
      </c>
      <c r="S208" s="374">
        <f t="shared" si="175"/>
        <v>-146.1124582</v>
      </c>
      <c r="T208" s="374">
        <f t="shared" si="175"/>
        <v>-144.592396</v>
      </c>
    </row>
    <row r="209" ht="12.75" customHeight="1">
      <c r="C209" s="367" t="s">
        <v>304</v>
      </c>
      <c r="D209" s="368"/>
      <c r="E209" s="368"/>
      <c r="F209" s="368"/>
      <c r="G209" s="368"/>
      <c r="H209" s="368" t="s">
        <v>36</v>
      </c>
      <c r="I209" s="368"/>
      <c r="J209" s="373">
        <f t="shared" ref="J209:O209" si="176">+J95</f>
        <v>0</v>
      </c>
      <c r="K209" s="373">
        <f t="shared" si="176"/>
        <v>0</v>
      </c>
      <c r="L209" s="373">
        <f t="shared" si="176"/>
        <v>0</v>
      </c>
      <c r="M209" s="373">
        <f t="shared" si="176"/>
        <v>-0.143</v>
      </c>
      <c r="N209" s="373">
        <f t="shared" si="176"/>
        <v>0</v>
      </c>
      <c r="O209" s="373">
        <f t="shared" si="176"/>
        <v>0</v>
      </c>
      <c r="P209" s="374">
        <f t="shared" ref="P209:T209" si="177">P95</f>
        <v>0</v>
      </c>
      <c r="Q209" s="374">
        <f t="shared" si="177"/>
        <v>0</v>
      </c>
      <c r="R209" s="374">
        <f t="shared" si="177"/>
        <v>0</v>
      </c>
      <c r="S209" s="374">
        <f t="shared" si="177"/>
        <v>0</v>
      </c>
      <c r="T209" s="374">
        <f t="shared" si="177"/>
        <v>0</v>
      </c>
    </row>
    <row r="210" ht="12.75" customHeight="1">
      <c r="C210" s="375" t="s">
        <v>352</v>
      </c>
      <c r="D210" s="376"/>
      <c r="E210" s="376"/>
      <c r="F210" s="376"/>
      <c r="G210" s="376"/>
      <c r="H210" s="376" t="s">
        <v>36</v>
      </c>
      <c r="I210" s="376"/>
      <c r="J210" s="377">
        <f t="shared" ref="J210:O210" si="178">+J204+J208+J209</f>
        <v>30.266</v>
      </c>
      <c r="K210" s="377">
        <f t="shared" si="178"/>
        <v>36.284</v>
      </c>
      <c r="L210" s="377">
        <f t="shared" si="178"/>
        <v>52.023</v>
      </c>
      <c r="M210" s="377">
        <f t="shared" si="178"/>
        <v>53.288</v>
      </c>
      <c r="N210" s="377">
        <f t="shared" si="178"/>
        <v>40.829</v>
      </c>
      <c r="O210" s="377">
        <f t="shared" si="178"/>
        <v>28.879</v>
      </c>
      <c r="P210" s="378">
        <f t="shared" ref="P210:T210" si="179">P204+P208+P209</f>
        <v>35.09229137</v>
      </c>
      <c r="Q210" s="378">
        <f t="shared" si="179"/>
        <v>42.70282965</v>
      </c>
      <c r="R210" s="378">
        <f t="shared" si="179"/>
        <v>51.3523263</v>
      </c>
      <c r="S210" s="378">
        <f t="shared" si="179"/>
        <v>60.27855561</v>
      </c>
      <c r="T210" s="377">
        <f t="shared" si="179"/>
        <v>69.74088894</v>
      </c>
    </row>
    <row r="211" ht="12.75" customHeight="1"/>
    <row r="212" ht="12.75" customHeight="1"/>
    <row r="213" ht="12.75" customHeight="1">
      <c r="C213" s="379" t="s">
        <v>353</v>
      </c>
      <c r="D213" s="290"/>
      <c r="E213" s="290"/>
      <c r="F213" s="290"/>
      <c r="G213" s="290"/>
      <c r="H213" s="177" t="s">
        <v>32</v>
      </c>
      <c r="I213" s="177"/>
      <c r="J213" s="380"/>
      <c r="K213" s="380">
        <f t="shared" ref="K213:O213" si="180">-K206/AVERAGE(K204,K201)</f>
        <v>0.03293122757</v>
      </c>
      <c r="L213" s="380">
        <f t="shared" si="180"/>
        <v>0.03288933919</v>
      </c>
      <c r="M213" s="380">
        <f t="shared" si="180"/>
        <v>0.05432649763</v>
      </c>
      <c r="N213" s="380">
        <f t="shared" si="180"/>
        <v>0.0719833699</v>
      </c>
      <c r="O213" s="380">
        <f t="shared" si="180"/>
        <v>0.07195423776</v>
      </c>
    </row>
    <row r="214" ht="12.75" customHeight="1"/>
    <row r="215" ht="12.75" customHeight="1">
      <c r="C215" s="154" t="s">
        <v>354</v>
      </c>
    </row>
    <row r="216" ht="12.75" customHeight="1"/>
    <row r="217" ht="12.75" customHeight="1">
      <c r="C217" s="171" t="s">
        <v>355</v>
      </c>
      <c r="F217" s="382">
        <f>+O213</f>
        <v>0.07195423776</v>
      </c>
      <c r="H217" s="153" t="s">
        <v>36</v>
      </c>
      <c r="I217" s="153"/>
      <c r="J217" s="383">
        <v>0.0</v>
      </c>
      <c r="K217" s="383">
        <v>0.0</v>
      </c>
      <c r="L217" s="383">
        <v>0.0</v>
      </c>
      <c r="M217" s="383">
        <v>0.0</v>
      </c>
      <c r="N217" s="383">
        <v>0.0</v>
      </c>
      <c r="O217" s="383">
        <v>0.0</v>
      </c>
      <c r="P217" s="257">
        <f t="shared" ref="P217:T217" si="181">IF($N204+$N208+$N204*$F217&lt;0,0,MIN($N204+$N208+SUM($O217:O217),$N204*$O217))</f>
        <v>0</v>
      </c>
      <c r="Q217" s="257">
        <f t="shared" si="181"/>
        <v>0</v>
      </c>
      <c r="R217" s="257">
        <f t="shared" si="181"/>
        <v>0</v>
      </c>
      <c r="S217" s="257">
        <f t="shared" si="181"/>
        <v>0</v>
      </c>
      <c r="T217" s="257">
        <f t="shared" si="181"/>
        <v>0</v>
      </c>
    </row>
    <row r="218" ht="12.75" customHeight="1">
      <c r="H218" s="153"/>
      <c r="I218" s="153"/>
    </row>
    <row r="219" ht="12.75" customHeight="1">
      <c r="C219" s="154" t="s">
        <v>356</v>
      </c>
      <c r="F219" s="382">
        <f>+F217</f>
        <v>0.07195423776</v>
      </c>
      <c r="H219" s="153" t="s">
        <v>36</v>
      </c>
      <c r="I219" s="153"/>
      <c r="P219" s="288">
        <f t="shared" ref="P219:T219" si="182">SUM(P221:P225)</f>
        <v>0.2157734165</v>
      </c>
      <c r="Q219" s="288">
        <f t="shared" si="182"/>
        <v>0.6808568069</v>
      </c>
      <c r="R219" s="288">
        <f t="shared" si="182"/>
        <v>0.9575894662</v>
      </c>
      <c r="S219" s="288">
        <f t="shared" si="182"/>
        <v>1.234322126</v>
      </c>
      <c r="T219" s="288">
        <f t="shared" si="182"/>
        <v>1.520062159</v>
      </c>
    </row>
    <row r="220" ht="12.75" customHeight="1">
      <c r="F220" s="391"/>
      <c r="H220" s="153"/>
      <c r="I220" s="153"/>
    </row>
    <row r="221" ht="12.75" customHeight="1">
      <c r="C221" s="384" t="s">
        <v>171</v>
      </c>
      <c r="F221" s="385" t="s">
        <v>299</v>
      </c>
      <c r="H221" s="153"/>
      <c r="I221" s="153"/>
      <c r="P221" s="288">
        <f>$F222*$F219/2</f>
        <v>0.2157734165</v>
      </c>
      <c r="Q221" s="288">
        <f t="shared" ref="Q221:T221" si="183">$F222*$F219</f>
        <v>0.431546833</v>
      </c>
      <c r="R221" s="288">
        <f t="shared" si="183"/>
        <v>0.431546833</v>
      </c>
      <c r="S221" s="288">
        <f t="shared" si="183"/>
        <v>0.431546833</v>
      </c>
      <c r="T221" s="288">
        <f t="shared" si="183"/>
        <v>0.431546833</v>
      </c>
    </row>
    <row r="222" ht="12.75" customHeight="1">
      <c r="C222" s="386">
        <v>2025.0</v>
      </c>
      <c r="F222" s="387">
        <f t="array" ref="F222:F226">TRANSPOSE(P202:T202)</f>
        <v>5.997517957</v>
      </c>
      <c r="H222" s="153" t="s">
        <v>36</v>
      </c>
      <c r="I222" s="153"/>
      <c r="P222" s="388"/>
      <c r="Q222" s="288">
        <f t="shared" ref="Q222:T222" si="184">$F223*$F219/2</f>
        <v>0.2493099739</v>
      </c>
      <c r="R222" s="288">
        <f t="shared" si="184"/>
        <v>0.2493099739</v>
      </c>
      <c r="S222" s="288">
        <f t="shared" si="184"/>
        <v>0.2493099739</v>
      </c>
      <c r="T222" s="288">
        <f t="shared" si="184"/>
        <v>0.2493099739</v>
      </c>
    </row>
    <row r="223" ht="12.75" customHeight="1">
      <c r="C223" s="386">
        <v>2026.0</v>
      </c>
      <c r="F223" s="387">
        <v>6.929681464627859</v>
      </c>
      <c r="H223" s="153" t="s">
        <v>36</v>
      </c>
      <c r="I223" s="153"/>
      <c r="P223" s="388"/>
      <c r="Q223" s="388"/>
      <c r="R223" s="288">
        <f t="shared" ref="R223:T223" si="185">$F224*$F219/2</f>
        <v>0.2767326593</v>
      </c>
      <c r="S223" s="288">
        <f t="shared" si="185"/>
        <v>0.2767326593</v>
      </c>
      <c r="T223" s="288">
        <f t="shared" si="185"/>
        <v>0.2767326593</v>
      </c>
    </row>
    <row r="224" ht="12.75" customHeight="1">
      <c r="C224" s="386">
        <v>2027.0</v>
      </c>
      <c r="F224" s="387">
        <v>7.691907187599168</v>
      </c>
      <c r="H224" s="153" t="s">
        <v>36</v>
      </c>
      <c r="I224" s="153"/>
      <c r="P224" s="388"/>
      <c r="Q224" s="388"/>
      <c r="R224" s="388"/>
      <c r="S224" s="288">
        <f t="shared" ref="S224:T224" si="186">$F225*$F219/2</f>
        <v>0.2767326593</v>
      </c>
      <c r="T224" s="288">
        <f t="shared" si="186"/>
        <v>0.2767326593</v>
      </c>
    </row>
    <row r="225" ht="12.75" customHeight="1">
      <c r="C225" s="386">
        <v>2028.0</v>
      </c>
      <c r="F225" s="387">
        <v>7.691907187599168</v>
      </c>
      <c r="H225" s="153" t="s">
        <v>36</v>
      </c>
      <c r="I225" s="153"/>
      <c r="P225" s="388"/>
      <c r="Q225" s="388"/>
      <c r="R225" s="388"/>
      <c r="S225" s="388"/>
      <c r="T225" s="288">
        <f>$F226*$F219/2</f>
        <v>0.2857400339</v>
      </c>
    </row>
    <row r="226" ht="12.75" customHeight="1">
      <c r="C226" s="392">
        <v>2029.0</v>
      </c>
      <c r="F226" s="393">
        <v>7.942271166280325</v>
      </c>
      <c r="H226" s="391" t="s">
        <v>36</v>
      </c>
      <c r="I226" s="391"/>
    </row>
    <row r="227" ht="12.75" customHeight="1">
      <c r="H227" s="153"/>
      <c r="I227" s="153"/>
    </row>
    <row r="228" ht="12.75" customHeight="1"/>
    <row r="229" ht="12.75" customHeight="1">
      <c r="C229" s="196" t="s">
        <v>360</v>
      </c>
    </row>
    <row r="230" ht="12.75" customHeight="1">
      <c r="C230" s="360" t="s">
        <v>347</v>
      </c>
      <c r="D230" s="361"/>
      <c r="E230" s="361"/>
      <c r="F230" s="361"/>
      <c r="G230" s="361"/>
      <c r="H230" s="361" t="s">
        <v>36</v>
      </c>
      <c r="I230" s="361"/>
      <c r="J230" s="360" t="str">
        <f>+$E$41</f>
        <v/>
      </c>
      <c r="K230" s="362">
        <f>+$J$45</f>
        <v>4.223</v>
      </c>
      <c r="L230" s="362">
        <f>+$K$45</f>
        <v>11.172</v>
      </c>
      <c r="M230" s="362">
        <f>+$L$45</f>
        <v>11.561</v>
      </c>
      <c r="N230" s="362">
        <f>+$M$45</f>
        <v>3.5</v>
      </c>
      <c r="O230" s="362">
        <f>+$N$45</f>
        <v>3.32</v>
      </c>
      <c r="P230" s="363">
        <f t="shared" ref="P230:T230" si="187">+O233</f>
        <v>2.916</v>
      </c>
      <c r="Q230" s="363">
        <f t="shared" si="187"/>
        <v>2.966821575</v>
      </c>
      <c r="R230" s="363">
        <f t="shared" si="187"/>
        <v>3.025542088</v>
      </c>
      <c r="S230" s="363">
        <f t="shared" si="187"/>
        <v>3.090721524</v>
      </c>
      <c r="T230" s="363">
        <f t="shared" si="187"/>
        <v>3.15590096</v>
      </c>
    </row>
    <row r="231" ht="12.75" customHeight="1">
      <c r="C231" s="17" t="s">
        <v>299</v>
      </c>
      <c r="E231" s="364"/>
      <c r="F231" s="364"/>
      <c r="G231" s="364"/>
      <c r="H231" s="364" t="s">
        <v>36</v>
      </c>
      <c r="I231" s="364"/>
      <c r="J231" s="365">
        <f>+$J$57</f>
        <v>0.189</v>
      </c>
      <c r="K231" s="365">
        <f>+$K$57</f>
        <v>0.046</v>
      </c>
      <c r="L231" s="365">
        <f>+$L$57</f>
        <v>0.389</v>
      </c>
      <c r="M231" s="365">
        <f>+$M$57</f>
        <v>0.31</v>
      </c>
      <c r="N231" s="365">
        <f>+$N$57</f>
        <v>-0.049</v>
      </c>
      <c r="O231" s="365">
        <f>+$O$57</f>
        <v>0</v>
      </c>
      <c r="P231" s="257">
        <f>$P$57</f>
        <v>0.05082157523</v>
      </c>
      <c r="Q231" s="257">
        <f>$Q$57</f>
        <v>0.05872051246</v>
      </c>
      <c r="R231" s="257">
        <f>$R$57</f>
        <v>0.06517943633</v>
      </c>
      <c r="S231" s="257">
        <f>$S$57</f>
        <v>0.06517943633</v>
      </c>
      <c r="T231" s="257">
        <f>$T$57</f>
        <v>0.06730096258</v>
      </c>
    </row>
    <row r="232" ht="12.75" customHeight="1">
      <c r="C232" s="17" t="s">
        <v>348</v>
      </c>
      <c r="E232" s="364"/>
      <c r="F232" s="364"/>
      <c r="G232" s="364"/>
      <c r="H232" s="364" t="s">
        <v>36</v>
      </c>
      <c r="I232" s="364"/>
      <c r="J232" s="365">
        <f t="shared" ref="J232:O232" si="188">+J233-(J230+J231)</f>
        <v>4.034</v>
      </c>
      <c r="K232" s="365">
        <f t="shared" si="188"/>
        <v>6.903</v>
      </c>
      <c r="L232" s="365">
        <f t="shared" si="188"/>
        <v>0</v>
      </c>
      <c r="M232" s="365">
        <f t="shared" si="188"/>
        <v>-8.371</v>
      </c>
      <c r="N232" s="365">
        <f t="shared" si="188"/>
        <v>-0.131</v>
      </c>
      <c r="O232" s="365">
        <f t="shared" si="188"/>
        <v>-0.404</v>
      </c>
      <c r="P232" s="366">
        <v>0.0</v>
      </c>
      <c r="Q232" s="366">
        <v>0.0</v>
      </c>
      <c r="R232" s="366">
        <v>0.0</v>
      </c>
      <c r="S232" s="366">
        <v>0.0</v>
      </c>
      <c r="T232" s="366">
        <v>0.0</v>
      </c>
    </row>
    <row r="233" ht="12.75" customHeight="1">
      <c r="C233" s="367" t="s">
        <v>349</v>
      </c>
      <c r="D233" s="368"/>
      <c r="E233" s="368"/>
      <c r="F233" s="368"/>
      <c r="G233" s="368"/>
      <c r="H233" s="368" t="s">
        <v>36</v>
      </c>
      <c r="I233" s="368"/>
      <c r="J233" s="369">
        <f>+$J$45</f>
        <v>4.223</v>
      </c>
      <c r="K233" s="369">
        <f>+$K$45</f>
        <v>11.172</v>
      </c>
      <c r="L233" s="369">
        <f>+$L$45</f>
        <v>11.561</v>
      </c>
      <c r="M233" s="369">
        <f>+$M$45</f>
        <v>3.5</v>
      </c>
      <c r="N233" s="369">
        <f>+$N$45</f>
        <v>3.32</v>
      </c>
      <c r="O233" s="369">
        <f>+$O$45</f>
        <v>2.916</v>
      </c>
      <c r="P233" s="370">
        <f t="shared" ref="P233:T233" si="189">SUM(P230:P232)</f>
        <v>2.966821575</v>
      </c>
      <c r="Q233" s="370">
        <f t="shared" si="189"/>
        <v>3.025542088</v>
      </c>
      <c r="R233" s="370">
        <f t="shared" si="189"/>
        <v>3.090721524</v>
      </c>
      <c r="S233" s="370">
        <f t="shared" si="189"/>
        <v>3.15590096</v>
      </c>
      <c r="T233" s="370">
        <f t="shared" si="189"/>
        <v>3.223201923</v>
      </c>
    </row>
    <row r="234" ht="12.75" customHeight="1">
      <c r="C234" s="367" t="s">
        <v>350</v>
      </c>
      <c r="D234" s="368"/>
      <c r="E234" s="368"/>
      <c r="F234" s="368"/>
      <c r="G234" s="368"/>
      <c r="H234" s="368" t="s">
        <v>36</v>
      </c>
      <c r="I234" s="368"/>
      <c r="J234" s="371">
        <f t="shared" ref="J234:O234" si="190">-I72</f>
        <v>0</v>
      </c>
      <c r="K234" s="369">
        <f t="shared" si="190"/>
        <v>-3.587</v>
      </c>
      <c r="L234" s="369">
        <f t="shared" si="190"/>
        <v>-10.724</v>
      </c>
      <c r="M234" s="369">
        <f t="shared" si="190"/>
        <v>-10.92</v>
      </c>
      <c r="N234" s="369">
        <f t="shared" si="190"/>
        <v>-2.801</v>
      </c>
      <c r="O234" s="369">
        <f t="shared" si="190"/>
        <v>-2.811</v>
      </c>
      <c r="P234" s="257">
        <f t="shared" ref="P234:T234" si="191">+O237</f>
        <v>-2.586</v>
      </c>
      <c r="Q234" s="257">
        <f t="shared" si="191"/>
        <v>-2.584761244</v>
      </c>
      <c r="R234" s="257">
        <f t="shared" si="191"/>
        <v>-2.580852444</v>
      </c>
      <c r="S234" s="257">
        <f t="shared" si="191"/>
        <v>-2.575354922</v>
      </c>
      <c r="T234" s="257">
        <f t="shared" si="191"/>
        <v>-2.568268677</v>
      </c>
    </row>
    <row r="235" ht="12.75" customHeight="1">
      <c r="C235" s="17" t="s">
        <v>342</v>
      </c>
      <c r="E235" s="364"/>
      <c r="F235" s="364"/>
      <c r="G235" s="364"/>
      <c r="H235" s="364" t="s">
        <v>36</v>
      </c>
      <c r="I235" s="364"/>
      <c r="J235" s="372">
        <f t="shared" ref="J235:O235" si="192">-J84</f>
        <v>-0.254</v>
      </c>
      <c r="K235" s="372">
        <f t="shared" si="192"/>
        <v>-0.215</v>
      </c>
      <c r="L235" s="372">
        <f t="shared" si="192"/>
        <v>-0.196</v>
      </c>
      <c r="M235" s="372">
        <f t="shared" si="192"/>
        <v>-0.211</v>
      </c>
      <c r="N235" s="372">
        <f t="shared" si="192"/>
        <v>-0.188</v>
      </c>
      <c r="O235" s="372">
        <f t="shared" si="192"/>
        <v>-0.152</v>
      </c>
      <c r="P235" s="257">
        <f t="shared" ref="P235:T235" si="193">SUM(P246,P248)</f>
        <v>0.001238755522</v>
      </c>
      <c r="Q235" s="257">
        <f t="shared" si="193"/>
        <v>0.003908799994</v>
      </c>
      <c r="R235" s="257">
        <f t="shared" si="193"/>
        <v>0.005497522624</v>
      </c>
      <c r="S235" s="257">
        <f t="shared" si="193"/>
        <v>0.007086245255</v>
      </c>
      <c r="T235" s="257">
        <f t="shared" si="193"/>
        <v>0.008726679237</v>
      </c>
    </row>
    <row r="236" ht="12.75" customHeight="1">
      <c r="C236" s="17" t="s">
        <v>348</v>
      </c>
      <c r="E236" s="364"/>
      <c r="F236" s="364"/>
      <c r="G236" s="364"/>
      <c r="H236" s="364" t="s">
        <v>36</v>
      </c>
      <c r="I236" s="364"/>
      <c r="J236" s="372">
        <f t="shared" ref="J236:O236" si="194">+J237-(J234+J235)</f>
        <v>-3.333</v>
      </c>
      <c r="K236" s="372">
        <f t="shared" si="194"/>
        <v>-6.922</v>
      </c>
      <c r="L236" s="372">
        <f t="shared" si="194"/>
        <v>0</v>
      </c>
      <c r="M236" s="372">
        <f t="shared" si="194"/>
        <v>8.33</v>
      </c>
      <c r="N236" s="372">
        <f t="shared" si="194"/>
        <v>0.178</v>
      </c>
      <c r="O236" s="372">
        <f t="shared" si="194"/>
        <v>0.377</v>
      </c>
      <c r="P236" s="366">
        <v>0.0</v>
      </c>
      <c r="Q236" s="366">
        <v>0.0</v>
      </c>
      <c r="R236" s="366">
        <v>0.0</v>
      </c>
      <c r="S236" s="366">
        <v>0.0</v>
      </c>
      <c r="T236" s="366">
        <v>0.0</v>
      </c>
    </row>
    <row r="237" ht="12.75" customHeight="1">
      <c r="C237" s="367" t="s">
        <v>351</v>
      </c>
      <c r="D237" s="368"/>
      <c r="E237" s="368"/>
      <c r="F237" s="368"/>
      <c r="G237" s="368"/>
      <c r="H237" s="368" t="s">
        <v>36</v>
      </c>
      <c r="I237" s="368"/>
      <c r="J237" s="373">
        <f t="shared" ref="J237:O237" si="195">-J72</f>
        <v>-3.587</v>
      </c>
      <c r="K237" s="373">
        <f t="shared" si="195"/>
        <v>-10.724</v>
      </c>
      <c r="L237" s="373">
        <f t="shared" si="195"/>
        <v>-10.92</v>
      </c>
      <c r="M237" s="373">
        <f t="shared" si="195"/>
        <v>-2.801</v>
      </c>
      <c r="N237" s="373">
        <f t="shared" si="195"/>
        <v>-2.811</v>
      </c>
      <c r="O237" s="373">
        <f t="shared" si="195"/>
        <v>-2.586</v>
      </c>
      <c r="P237" s="374">
        <f t="shared" ref="P237:T237" si="196">SUM(P234:P236)</f>
        <v>-2.584761244</v>
      </c>
      <c r="Q237" s="374">
        <f t="shared" si="196"/>
        <v>-2.580852444</v>
      </c>
      <c r="R237" s="374">
        <f t="shared" si="196"/>
        <v>-2.575354922</v>
      </c>
      <c r="S237" s="374">
        <f t="shared" si="196"/>
        <v>-2.568268677</v>
      </c>
      <c r="T237" s="374">
        <f t="shared" si="196"/>
        <v>-2.559541997</v>
      </c>
    </row>
    <row r="238" ht="12.75" customHeight="1">
      <c r="B238" s="78"/>
      <c r="C238" s="367" t="s">
        <v>304</v>
      </c>
      <c r="D238" s="368"/>
      <c r="E238" s="368"/>
      <c r="F238" s="368"/>
      <c r="G238" s="368"/>
      <c r="H238" s="368" t="s">
        <v>36</v>
      </c>
      <c r="I238" s="368"/>
      <c r="J238" s="373">
        <f t="shared" ref="J238:O238" si="197">+J96</f>
        <v>0</v>
      </c>
      <c r="K238" s="373">
        <f t="shared" si="197"/>
        <v>0</v>
      </c>
      <c r="L238" s="373">
        <f t="shared" si="197"/>
        <v>0</v>
      </c>
      <c r="M238" s="373">
        <f t="shared" si="197"/>
        <v>0</v>
      </c>
      <c r="N238" s="373">
        <f t="shared" si="197"/>
        <v>0</v>
      </c>
      <c r="O238" s="373">
        <f t="shared" si="197"/>
        <v>0</v>
      </c>
      <c r="P238" s="374">
        <f t="shared" ref="P238:T238" si="198">-P96</f>
        <v>0</v>
      </c>
      <c r="Q238" s="374">
        <f t="shared" si="198"/>
        <v>0</v>
      </c>
      <c r="R238" s="374">
        <f t="shared" si="198"/>
        <v>0</v>
      </c>
      <c r="S238" s="374">
        <f t="shared" si="198"/>
        <v>0</v>
      </c>
      <c r="T238" s="374">
        <f t="shared" si="198"/>
        <v>0</v>
      </c>
    </row>
    <row r="239" ht="12.75" customHeight="1">
      <c r="C239" s="375" t="s">
        <v>352</v>
      </c>
      <c r="D239" s="376"/>
      <c r="E239" s="376"/>
      <c r="F239" s="376"/>
      <c r="G239" s="376"/>
      <c r="H239" s="376" t="s">
        <v>36</v>
      </c>
      <c r="I239" s="376"/>
      <c r="J239" s="377">
        <f t="shared" ref="J239:O239" si="199">+J233+J237+J238</f>
        <v>0.636</v>
      </c>
      <c r="K239" s="377">
        <f t="shared" si="199"/>
        <v>0.448</v>
      </c>
      <c r="L239" s="377">
        <f t="shared" si="199"/>
        <v>0.641</v>
      </c>
      <c r="M239" s="377">
        <f t="shared" si="199"/>
        <v>0.699</v>
      </c>
      <c r="N239" s="377">
        <f t="shared" si="199"/>
        <v>0.509</v>
      </c>
      <c r="O239" s="377">
        <f t="shared" si="199"/>
        <v>0.33</v>
      </c>
      <c r="P239" s="378">
        <f t="shared" ref="P239:T239" si="200">P233+P237+P238</f>
        <v>0.3820603308</v>
      </c>
      <c r="Q239" s="378">
        <f t="shared" si="200"/>
        <v>0.4446896432</v>
      </c>
      <c r="R239" s="378">
        <f t="shared" si="200"/>
        <v>0.5153666022</v>
      </c>
      <c r="S239" s="378">
        <f t="shared" si="200"/>
        <v>0.5876322837</v>
      </c>
      <c r="T239" s="377">
        <f t="shared" si="200"/>
        <v>0.6636599256</v>
      </c>
    </row>
    <row r="240" ht="12.75" customHeight="1"/>
    <row r="241" ht="12.75" customHeight="1"/>
    <row r="242" ht="12.75" customHeight="1">
      <c r="C242" s="379" t="s">
        <v>353</v>
      </c>
      <c r="D242" s="290"/>
      <c r="E242" s="290"/>
      <c r="F242" s="290"/>
      <c r="G242" s="290"/>
      <c r="H242" s="177" t="s">
        <v>32</v>
      </c>
      <c r="I242" s="177"/>
      <c r="J242" s="380"/>
      <c r="K242" s="380">
        <f t="shared" ref="K242:O242" si="201">-K235/AVERAGE(K233,K230)</f>
        <v>0.02793114648</v>
      </c>
      <c r="L242" s="380">
        <f t="shared" si="201"/>
        <v>0.0172436546</v>
      </c>
      <c r="M242" s="380">
        <f t="shared" si="201"/>
        <v>0.02801938782</v>
      </c>
      <c r="N242" s="380">
        <f t="shared" si="201"/>
        <v>0.05513196481</v>
      </c>
      <c r="O242" s="380">
        <f t="shared" si="201"/>
        <v>0.0487491982</v>
      </c>
    </row>
    <row r="243" ht="12.75" customHeight="1"/>
    <row r="244" ht="12.75" customHeight="1">
      <c r="C244" s="154" t="s">
        <v>354</v>
      </c>
    </row>
    <row r="245" ht="12.75" customHeight="1">
      <c r="H245" s="153"/>
      <c r="I245" s="153"/>
    </row>
    <row r="246" ht="12.75" customHeight="1">
      <c r="C246" s="171" t="s">
        <v>355</v>
      </c>
      <c r="F246" s="382">
        <f>+O242</f>
        <v>0.0487491982</v>
      </c>
      <c r="H246" s="153" t="s">
        <v>36</v>
      </c>
      <c r="I246" s="153"/>
      <c r="J246" s="383">
        <v>0.0</v>
      </c>
      <c r="K246" s="383">
        <v>0.0</v>
      </c>
      <c r="L246" s="383">
        <v>0.0</v>
      </c>
      <c r="M246" s="383">
        <v>0.0</v>
      </c>
      <c r="N246" s="383">
        <v>0.0</v>
      </c>
      <c r="O246" s="383">
        <v>0.0</v>
      </c>
      <c r="P246" s="288">
        <f t="shared" ref="P246:T246" si="202">-IF($O232+$O237+$O232*$F246&lt;0,0,MIN($O232+$O237+SUM($O246:O246),$O232*$F$46))</f>
        <v>0</v>
      </c>
      <c r="Q246" s="288">
        <f t="shared" si="202"/>
        <v>0</v>
      </c>
      <c r="R246" s="288">
        <f t="shared" si="202"/>
        <v>0</v>
      </c>
      <c r="S246" s="288">
        <f t="shared" si="202"/>
        <v>0</v>
      </c>
      <c r="T246" s="288">
        <f t="shared" si="202"/>
        <v>0</v>
      </c>
    </row>
    <row r="247" ht="12.75" customHeight="1">
      <c r="H247" s="153"/>
      <c r="I247" s="153"/>
    </row>
    <row r="248" ht="12.75" customHeight="1">
      <c r="C248" s="154" t="s">
        <v>356</v>
      </c>
      <c r="F248" s="382">
        <f>+F246</f>
        <v>0.0487491982</v>
      </c>
      <c r="H248" s="153" t="s">
        <v>36</v>
      </c>
      <c r="I248" s="153"/>
      <c r="P248" s="288">
        <f t="shared" ref="P248:T248" si="203">SUM(P250:P254)</f>
        <v>0.001238755522</v>
      </c>
      <c r="Q248" s="288">
        <f t="shared" si="203"/>
        <v>0.003908799994</v>
      </c>
      <c r="R248" s="288">
        <f t="shared" si="203"/>
        <v>0.005497522624</v>
      </c>
      <c r="S248" s="288">
        <f t="shared" si="203"/>
        <v>0.007086245255</v>
      </c>
      <c r="T248" s="288">
        <f t="shared" si="203"/>
        <v>0.008726679237</v>
      </c>
    </row>
    <row r="249" ht="12.75" customHeight="1">
      <c r="F249" s="391"/>
      <c r="H249" s="153"/>
      <c r="I249" s="153"/>
    </row>
    <row r="250" ht="12.75" customHeight="1">
      <c r="C250" s="384" t="s">
        <v>171</v>
      </c>
      <c r="F250" s="385" t="s">
        <v>299</v>
      </c>
      <c r="H250" s="153"/>
      <c r="I250" s="153"/>
      <c r="P250" s="288">
        <f>$F248*$F251/2</f>
        <v>0.001238755522</v>
      </c>
      <c r="Q250" s="288">
        <f t="shared" ref="Q250:T250" si="204">$F251*$F248</f>
        <v>0.002477511044</v>
      </c>
      <c r="R250" s="288">
        <f t="shared" si="204"/>
        <v>0.002477511044</v>
      </c>
      <c r="S250" s="288">
        <f t="shared" si="204"/>
        <v>0.002477511044</v>
      </c>
      <c r="T250" s="288">
        <f t="shared" si="204"/>
        <v>0.002477511044</v>
      </c>
    </row>
    <row r="251" ht="12.75" customHeight="1">
      <c r="C251" s="386">
        <v>2025.0</v>
      </c>
      <c r="F251" s="387">
        <f t="array" ref="F251:F255">TRANSPOSE(P231:T231)</f>
        <v>0.05082157523</v>
      </c>
      <c r="H251" s="153" t="s">
        <v>36</v>
      </c>
      <c r="I251" s="153"/>
      <c r="P251" s="388"/>
      <c r="Q251" s="288">
        <f t="shared" ref="Q251:T251" si="205">$F252*$F248/2</f>
        <v>0.00143128895</v>
      </c>
      <c r="R251" s="288">
        <f t="shared" si="205"/>
        <v>0.00143128895</v>
      </c>
      <c r="S251" s="288">
        <f t="shared" si="205"/>
        <v>0.00143128895</v>
      </c>
      <c r="T251" s="288">
        <f t="shared" si="205"/>
        <v>0.00143128895</v>
      </c>
    </row>
    <row r="252" ht="12.75" customHeight="1">
      <c r="C252" s="386">
        <v>2026.0</v>
      </c>
      <c r="F252" s="387">
        <v>0.05872051245530452</v>
      </c>
      <c r="H252" s="153" t="s">
        <v>36</v>
      </c>
      <c r="I252" s="153"/>
      <c r="P252" s="388"/>
      <c r="Q252" s="388"/>
      <c r="R252" s="288">
        <f t="shared" ref="R252:T252" si="206">$F253*$F248/2</f>
        <v>0.00158872263</v>
      </c>
      <c r="S252" s="288">
        <f t="shared" si="206"/>
        <v>0.00158872263</v>
      </c>
      <c r="T252" s="288">
        <f t="shared" si="206"/>
        <v>0.00158872263</v>
      </c>
    </row>
    <row r="253" ht="12.75" customHeight="1">
      <c r="C253" s="386">
        <v>2027.0</v>
      </c>
      <c r="F253" s="387">
        <v>0.06517943633051526</v>
      </c>
      <c r="H253" s="153" t="s">
        <v>36</v>
      </c>
      <c r="I253" s="153"/>
      <c r="P253" s="388"/>
      <c r="Q253" s="388"/>
      <c r="R253" s="388"/>
      <c r="S253" s="288">
        <f t="shared" ref="S253:T253" si="207">$F254*$F248/2</f>
        <v>0.00158872263</v>
      </c>
      <c r="T253" s="288">
        <f t="shared" si="207"/>
        <v>0.00158872263</v>
      </c>
    </row>
    <row r="254" ht="12.75" customHeight="1">
      <c r="C254" s="386">
        <v>2028.0</v>
      </c>
      <c r="F254" s="387">
        <v>0.06517943633051526</v>
      </c>
      <c r="H254" s="153" t="s">
        <v>36</v>
      </c>
      <c r="I254" s="153"/>
      <c r="P254" s="388"/>
      <c r="Q254" s="388"/>
      <c r="R254" s="388"/>
      <c r="S254" s="388"/>
      <c r="T254" s="288">
        <f>$F255*$F248/2</f>
        <v>0.001640433982</v>
      </c>
    </row>
    <row r="255" ht="12.75" customHeight="1">
      <c r="C255" s="392">
        <v>2029.0</v>
      </c>
      <c r="F255" s="393">
        <v>0.06730096258010544</v>
      </c>
      <c r="H255" s="391" t="s">
        <v>36</v>
      </c>
      <c r="I255" s="391"/>
    </row>
    <row r="256" ht="12.75" customHeight="1"/>
    <row r="257" ht="12.75" customHeight="1"/>
    <row r="258" ht="12.75" customHeight="1">
      <c r="C258" s="196" t="s">
        <v>361</v>
      </c>
    </row>
    <row r="259" ht="12.75" customHeight="1">
      <c r="C259" s="360" t="s">
        <v>347</v>
      </c>
      <c r="D259" s="361"/>
      <c r="E259" s="361"/>
      <c r="F259" s="361"/>
      <c r="G259" s="361"/>
      <c r="H259" s="361" t="s">
        <v>36</v>
      </c>
      <c r="I259" s="361"/>
      <c r="J259" s="360" t="str">
        <f>+$E$46</f>
        <v/>
      </c>
      <c r="K259" s="362">
        <f>+$J$46</f>
        <v>12.78</v>
      </c>
      <c r="L259" s="362">
        <f>+$K$46</f>
        <v>15.265</v>
      </c>
      <c r="M259" s="362">
        <f>+$L$46</f>
        <v>16.03</v>
      </c>
      <c r="N259" s="362">
        <f>+$M$46</f>
        <v>10.485</v>
      </c>
      <c r="O259" s="362">
        <f>+$N$46</f>
        <v>8.937</v>
      </c>
      <c r="P259" s="363">
        <f t="shared" ref="P259:T259" si="208">+O262</f>
        <v>8.927</v>
      </c>
      <c r="Q259" s="363">
        <f t="shared" si="208"/>
        <v>9.106878267</v>
      </c>
      <c r="R259" s="363">
        <f t="shared" si="208"/>
        <v>9.314714091</v>
      </c>
      <c r="S259" s="363">
        <f t="shared" si="208"/>
        <v>9.54541068</v>
      </c>
      <c r="T259" s="363">
        <f t="shared" si="208"/>
        <v>9.776107268</v>
      </c>
    </row>
    <row r="260" ht="12.75" customHeight="1">
      <c r="C260" s="17" t="s">
        <v>299</v>
      </c>
      <c r="E260" s="364"/>
      <c r="F260" s="364"/>
      <c r="G260" s="364"/>
      <c r="H260" s="364" t="s">
        <v>36</v>
      </c>
      <c r="I260" s="364"/>
      <c r="J260" s="365">
        <f>+$J$58</f>
        <v>0.434</v>
      </c>
      <c r="K260" s="365">
        <f>+$K$57</f>
        <v>0.046</v>
      </c>
      <c r="L260" s="365">
        <f>+$L$57</f>
        <v>0.389</v>
      </c>
      <c r="M260" s="365">
        <f>+$M$57</f>
        <v>0.31</v>
      </c>
      <c r="N260" s="365">
        <f>+$N$57</f>
        <v>-0.049</v>
      </c>
      <c r="O260" s="365">
        <f>+$O$57</f>
        <v>0</v>
      </c>
      <c r="P260" s="257">
        <f>$P$58</f>
        <v>0.1798782667</v>
      </c>
      <c r="Q260" s="257">
        <f>$Q$58</f>
        <v>0.2078358247</v>
      </c>
      <c r="R260" s="257">
        <f>$R$58</f>
        <v>0.2306965885</v>
      </c>
      <c r="S260" s="257">
        <f>$S$58</f>
        <v>0.2306965885</v>
      </c>
      <c r="T260" s="257">
        <f>$P$58</f>
        <v>0.1798782667</v>
      </c>
    </row>
    <row r="261" ht="12.75" customHeight="1">
      <c r="C261" s="17" t="s">
        <v>348</v>
      </c>
      <c r="E261" s="364"/>
      <c r="F261" s="364"/>
      <c r="G261" s="364"/>
      <c r="H261" s="364" t="s">
        <v>36</v>
      </c>
      <c r="I261" s="364"/>
      <c r="J261" s="365">
        <f t="shared" ref="J261:O261" si="209">+J262-(J259+J260)</f>
        <v>12.346</v>
      </c>
      <c r="K261" s="365">
        <f t="shared" si="209"/>
        <v>2.439</v>
      </c>
      <c r="L261" s="365">
        <f t="shared" si="209"/>
        <v>0.376</v>
      </c>
      <c r="M261" s="365">
        <f t="shared" si="209"/>
        <v>-5.855</v>
      </c>
      <c r="N261" s="365">
        <f t="shared" si="209"/>
        <v>-1.499</v>
      </c>
      <c r="O261" s="365">
        <f t="shared" si="209"/>
        <v>-0.01</v>
      </c>
      <c r="P261" s="366">
        <v>0.0</v>
      </c>
      <c r="Q261" s="366">
        <v>0.0</v>
      </c>
      <c r="R261" s="366">
        <v>0.0</v>
      </c>
      <c r="S261" s="366">
        <v>0.0</v>
      </c>
      <c r="T261" s="366">
        <v>0.0</v>
      </c>
    </row>
    <row r="262" ht="12.75" customHeight="1">
      <c r="C262" s="367" t="s">
        <v>349</v>
      </c>
      <c r="D262" s="368"/>
      <c r="E262" s="368"/>
      <c r="F262" s="368"/>
      <c r="G262" s="368"/>
      <c r="H262" s="368" t="s">
        <v>36</v>
      </c>
      <c r="I262" s="368"/>
      <c r="J262" s="369">
        <f>+$J$46</f>
        <v>12.78</v>
      </c>
      <c r="K262" s="369">
        <f>+$K$46</f>
        <v>15.265</v>
      </c>
      <c r="L262" s="369">
        <f>+$L$46</f>
        <v>16.03</v>
      </c>
      <c r="M262" s="369">
        <f>+$M$46</f>
        <v>10.485</v>
      </c>
      <c r="N262" s="369">
        <f>+$N$46</f>
        <v>8.937</v>
      </c>
      <c r="O262" s="369">
        <f>+$O$46</f>
        <v>8.927</v>
      </c>
      <c r="P262" s="370">
        <f t="shared" ref="P262:T262" si="210">SUM(P259:P261)</f>
        <v>9.106878267</v>
      </c>
      <c r="Q262" s="370">
        <f t="shared" si="210"/>
        <v>9.314714091</v>
      </c>
      <c r="R262" s="370">
        <f t="shared" si="210"/>
        <v>9.54541068</v>
      </c>
      <c r="S262" s="370">
        <f t="shared" si="210"/>
        <v>9.776107268</v>
      </c>
      <c r="T262" s="370">
        <f t="shared" si="210"/>
        <v>9.955985535</v>
      </c>
    </row>
    <row r="263" ht="12.75" customHeight="1">
      <c r="C263" s="367" t="s">
        <v>350</v>
      </c>
      <c r="D263" s="368"/>
      <c r="E263" s="368"/>
      <c r="F263" s="368"/>
      <c r="G263" s="368"/>
      <c r="H263" s="368" t="s">
        <v>36</v>
      </c>
      <c r="I263" s="368"/>
      <c r="J263" s="371">
        <f t="shared" ref="J263:O263" si="211">-I73</f>
        <v>0</v>
      </c>
      <c r="K263" s="369">
        <f t="shared" si="211"/>
        <v>-9.086</v>
      </c>
      <c r="L263" s="369">
        <f t="shared" si="211"/>
        <v>-11.864</v>
      </c>
      <c r="M263" s="369">
        <f t="shared" si="211"/>
        <v>-12.913</v>
      </c>
      <c r="N263" s="369">
        <f t="shared" si="211"/>
        <v>-7.807</v>
      </c>
      <c r="O263" s="369">
        <f t="shared" si="211"/>
        <v>-7.108</v>
      </c>
      <c r="P263" s="257">
        <f t="shared" ref="P263:T263" si="212">+O266</f>
        <v>-7.478</v>
      </c>
      <c r="Q263" s="257">
        <f t="shared" si="212"/>
        <v>-7.473760818</v>
      </c>
      <c r="R263" s="257">
        <f t="shared" si="212"/>
        <v>-7.460384397</v>
      </c>
      <c r="S263" s="257">
        <f t="shared" si="212"/>
        <v>-7.441571161</v>
      </c>
      <c r="T263" s="257">
        <f t="shared" si="212"/>
        <v>-7.41732111</v>
      </c>
    </row>
    <row r="264" ht="12.75" customHeight="1">
      <c r="C264" s="17" t="s">
        <v>342</v>
      </c>
      <c r="E264" s="364"/>
      <c r="F264" s="364"/>
      <c r="G264" s="364"/>
      <c r="H264" s="364" t="s">
        <v>36</v>
      </c>
      <c r="I264" s="364"/>
      <c r="J264" s="372">
        <f t="shared" ref="J264:O264" si="213">-J85</f>
        <v>-0.951</v>
      </c>
      <c r="K264" s="372">
        <f t="shared" si="213"/>
        <v>-0.953</v>
      </c>
      <c r="L264" s="372">
        <f t="shared" si="213"/>
        <v>-1.052</v>
      </c>
      <c r="M264" s="372">
        <f t="shared" si="213"/>
        <v>-1.031</v>
      </c>
      <c r="N264" s="372">
        <f t="shared" si="213"/>
        <v>-0.532</v>
      </c>
      <c r="O264" s="372">
        <f t="shared" si="213"/>
        <v>-0.421</v>
      </c>
      <c r="P264" s="257">
        <f t="shared" ref="P264:T264" si="214">SUM(P275,P277)</f>
        <v>0.004239182169</v>
      </c>
      <c r="Q264" s="257">
        <f t="shared" si="214"/>
        <v>0.01337642089</v>
      </c>
      <c r="R264" s="257">
        <f t="shared" si="214"/>
        <v>0.01881323592</v>
      </c>
      <c r="S264" s="257">
        <f t="shared" si="214"/>
        <v>0.02425005096</v>
      </c>
      <c r="T264" s="257">
        <f t="shared" si="214"/>
        <v>0.02848923313</v>
      </c>
    </row>
    <row r="265" ht="12.75" customHeight="1">
      <c r="C265" s="17" t="s">
        <v>348</v>
      </c>
      <c r="E265" s="364"/>
      <c r="F265" s="364"/>
      <c r="G265" s="364"/>
      <c r="H265" s="364" t="s">
        <v>36</v>
      </c>
      <c r="I265" s="364"/>
      <c r="J265" s="372">
        <f t="shared" ref="J265:O265" si="215">+J266-(J263+J264)</f>
        <v>-8.135</v>
      </c>
      <c r="K265" s="372">
        <f t="shared" si="215"/>
        <v>-1.825</v>
      </c>
      <c r="L265" s="372">
        <f t="shared" si="215"/>
        <v>0.003</v>
      </c>
      <c r="M265" s="372">
        <f t="shared" si="215"/>
        <v>6.137</v>
      </c>
      <c r="N265" s="372">
        <f t="shared" si="215"/>
        <v>1.231</v>
      </c>
      <c r="O265" s="372">
        <f t="shared" si="215"/>
        <v>0.051</v>
      </c>
      <c r="P265" s="366">
        <v>0.0</v>
      </c>
      <c r="Q265" s="366">
        <v>0.0</v>
      </c>
      <c r="R265" s="366">
        <v>0.0</v>
      </c>
      <c r="S265" s="366">
        <v>0.0</v>
      </c>
      <c r="T265" s="366">
        <v>0.0</v>
      </c>
    </row>
    <row r="266" ht="12.75" customHeight="1">
      <c r="C266" s="367" t="s">
        <v>351</v>
      </c>
      <c r="D266" s="368"/>
      <c r="E266" s="368"/>
      <c r="F266" s="368"/>
      <c r="G266" s="368"/>
      <c r="H266" s="368" t="s">
        <v>36</v>
      </c>
      <c r="I266" s="368"/>
      <c r="J266" s="373">
        <f t="shared" ref="J266:O266" si="216">-J73</f>
        <v>-9.086</v>
      </c>
      <c r="K266" s="373">
        <f t="shared" si="216"/>
        <v>-11.864</v>
      </c>
      <c r="L266" s="373">
        <f t="shared" si="216"/>
        <v>-12.913</v>
      </c>
      <c r="M266" s="373">
        <f t="shared" si="216"/>
        <v>-7.807</v>
      </c>
      <c r="N266" s="373">
        <f t="shared" si="216"/>
        <v>-7.108</v>
      </c>
      <c r="O266" s="373">
        <f t="shared" si="216"/>
        <v>-7.478</v>
      </c>
      <c r="P266" s="374">
        <f t="shared" ref="P266:T266" si="217">SUM(P263:P265)</f>
        <v>-7.473760818</v>
      </c>
      <c r="Q266" s="374">
        <f t="shared" si="217"/>
        <v>-7.460384397</v>
      </c>
      <c r="R266" s="374">
        <f t="shared" si="217"/>
        <v>-7.441571161</v>
      </c>
      <c r="S266" s="374">
        <f t="shared" si="217"/>
        <v>-7.41732111</v>
      </c>
      <c r="T266" s="374">
        <f t="shared" si="217"/>
        <v>-7.388831877</v>
      </c>
    </row>
    <row r="267" ht="12.75" customHeight="1">
      <c r="C267" s="367" t="s">
        <v>304</v>
      </c>
      <c r="D267" s="368"/>
      <c r="E267" s="368"/>
      <c r="F267" s="368"/>
      <c r="G267" s="368"/>
      <c r="H267" s="368" t="s">
        <v>36</v>
      </c>
      <c r="I267" s="368"/>
      <c r="J267" s="373">
        <f t="shared" ref="J267:O267" si="218">+J97</f>
        <v>0</v>
      </c>
      <c r="K267" s="373">
        <f t="shared" si="218"/>
        <v>-0.02</v>
      </c>
      <c r="L267" s="373">
        <f t="shared" si="218"/>
        <v>-0.059</v>
      </c>
      <c r="M267" s="373">
        <f t="shared" si="218"/>
        <v>0</v>
      </c>
      <c r="N267" s="373">
        <f t="shared" si="218"/>
        <v>0</v>
      </c>
      <c r="O267" s="373">
        <f t="shared" si="218"/>
        <v>0</v>
      </c>
      <c r="P267" s="374">
        <f t="shared" ref="P267:T267" si="219">-P97</f>
        <v>0</v>
      </c>
      <c r="Q267" s="374">
        <f t="shared" si="219"/>
        <v>0</v>
      </c>
      <c r="R267" s="374">
        <f t="shared" si="219"/>
        <v>0</v>
      </c>
      <c r="S267" s="374">
        <f t="shared" si="219"/>
        <v>0</v>
      </c>
      <c r="T267" s="374">
        <f t="shared" si="219"/>
        <v>0</v>
      </c>
    </row>
    <row r="268" ht="12.75" customHeight="1">
      <c r="C268" s="375" t="s">
        <v>352</v>
      </c>
      <c r="D268" s="376"/>
      <c r="E268" s="376"/>
      <c r="F268" s="376"/>
      <c r="G268" s="376"/>
      <c r="H268" s="376" t="s">
        <v>36</v>
      </c>
      <c r="I268" s="376"/>
      <c r="J268" s="377">
        <f t="shared" ref="J268:O268" si="220">+J262+J266+J267</f>
        <v>3.694</v>
      </c>
      <c r="K268" s="377">
        <f t="shared" si="220"/>
        <v>3.381</v>
      </c>
      <c r="L268" s="377">
        <f t="shared" si="220"/>
        <v>3.058</v>
      </c>
      <c r="M268" s="377">
        <f t="shared" si="220"/>
        <v>2.678</v>
      </c>
      <c r="N268" s="377">
        <f t="shared" si="220"/>
        <v>1.829</v>
      </c>
      <c r="O268" s="377">
        <f t="shared" si="220"/>
        <v>1.449</v>
      </c>
      <c r="P268" s="378">
        <f t="shared" ref="P268:T268" si="221">P262+P266+P267</f>
        <v>1.633117449</v>
      </c>
      <c r="Q268" s="378">
        <f t="shared" si="221"/>
        <v>1.854329694</v>
      </c>
      <c r="R268" s="378">
        <f t="shared" si="221"/>
        <v>2.103839519</v>
      </c>
      <c r="S268" s="378">
        <f t="shared" si="221"/>
        <v>2.358786158</v>
      </c>
      <c r="T268" s="377">
        <f t="shared" si="221"/>
        <v>2.567153658</v>
      </c>
    </row>
    <row r="269" ht="12.75" customHeight="1"/>
    <row r="270" ht="12.75" customHeight="1"/>
    <row r="271" ht="12.75" customHeight="1">
      <c r="C271" s="379" t="s">
        <v>353</v>
      </c>
      <c r="D271" s="290"/>
      <c r="E271" s="290"/>
      <c r="F271" s="290"/>
      <c r="G271" s="290"/>
      <c r="H271" s="177" t="s">
        <v>32</v>
      </c>
      <c r="I271" s="177"/>
      <c r="J271" s="380"/>
      <c r="K271" s="380">
        <f t="shared" ref="K271:O271" si="222">-K264/AVERAGE(K262,K259)</f>
        <v>0.0679622036</v>
      </c>
      <c r="L271" s="380">
        <f t="shared" si="222"/>
        <v>0.06723118709</v>
      </c>
      <c r="M271" s="380">
        <f t="shared" si="222"/>
        <v>0.07776730153</v>
      </c>
      <c r="N271" s="380">
        <f t="shared" si="222"/>
        <v>0.05478323551</v>
      </c>
      <c r="O271" s="380">
        <f t="shared" si="222"/>
        <v>0.04713390058</v>
      </c>
    </row>
    <row r="272" ht="12.75" customHeight="1"/>
    <row r="273" ht="12.75" customHeight="1">
      <c r="C273" s="154" t="s">
        <v>354</v>
      </c>
    </row>
    <row r="274" ht="12.75" customHeight="1">
      <c r="H274" s="153"/>
      <c r="I274" s="153"/>
    </row>
    <row r="275" ht="12.75" customHeight="1">
      <c r="C275" s="171" t="s">
        <v>355</v>
      </c>
      <c r="F275" s="382">
        <f>+O271</f>
        <v>0.04713390058</v>
      </c>
      <c r="H275" s="153" t="s">
        <v>36</v>
      </c>
      <c r="I275" s="153"/>
      <c r="J275" s="383">
        <v>0.0</v>
      </c>
      <c r="K275" s="383">
        <v>0.0</v>
      </c>
      <c r="L275" s="383">
        <v>0.0</v>
      </c>
      <c r="M275" s="383">
        <v>0.0</v>
      </c>
      <c r="N275" s="383">
        <v>0.0</v>
      </c>
      <c r="O275" s="383">
        <v>0.0</v>
      </c>
      <c r="P275" s="288">
        <f t="shared" ref="P275:T275" si="223">-IF($O261+$O266+$O261*$F275&lt;0,0,MIN($O261+$O266+SUM($O275:O275),$O261*$F$46))</f>
        <v>0</v>
      </c>
      <c r="Q275" s="288">
        <f t="shared" si="223"/>
        <v>0</v>
      </c>
      <c r="R275" s="288">
        <f t="shared" si="223"/>
        <v>0</v>
      </c>
      <c r="S275" s="288">
        <f t="shared" si="223"/>
        <v>0</v>
      </c>
      <c r="T275" s="288">
        <f t="shared" si="223"/>
        <v>0</v>
      </c>
    </row>
    <row r="276" ht="12.75" customHeight="1">
      <c r="H276" s="153"/>
      <c r="I276" s="153"/>
    </row>
    <row r="277" ht="12.75" customHeight="1">
      <c r="C277" s="154" t="s">
        <v>356</v>
      </c>
      <c r="F277" s="382">
        <f>+F275</f>
        <v>0.04713390058</v>
      </c>
      <c r="H277" s="153" t="s">
        <v>36</v>
      </c>
      <c r="I277" s="153"/>
      <c r="P277" s="288">
        <f t="shared" ref="P277:T277" si="224">SUM(P279:P283)</f>
        <v>0.004239182169</v>
      </c>
      <c r="Q277" s="288">
        <f t="shared" si="224"/>
        <v>0.01337642089</v>
      </c>
      <c r="R277" s="288">
        <f t="shared" si="224"/>
        <v>0.01881323592</v>
      </c>
      <c r="S277" s="288">
        <f t="shared" si="224"/>
        <v>0.02425005096</v>
      </c>
      <c r="T277" s="288">
        <f t="shared" si="224"/>
        <v>0.02848923313</v>
      </c>
    </row>
    <row r="278" ht="12.75" customHeight="1">
      <c r="F278" s="391"/>
      <c r="H278" s="153"/>
      <c r="I278" s="153"/>
    </row>
    <row r="279" ht="12.75" customHeight="1">
      <c r="C279" s="384" t="s">
        <v>171</v>
      </c>
      <c r="F279" s="385" t="s">
        <v>299</v>
      </c>
      <c r="H279" s="153"/>
      <c r="I279" s="153"/>
      <c r="P279" s="288">
        <f>$F277*$F280/2</f>
        <v>0.004239182169</v>
      </c>
      <c r="Q279" s="288">
        <f t="shared" ref="Q279:T279" si="225">$F280*$F277</f>
        <v>0.008478364339</v>
      </c>
      <c r="R279" s="288">
        <f t="shared" si="225"/>
        <v>0.008478364339</v>
      </c>
      <c r="S279" s="288">
        <f t="shared" si="225"/>
        <v>0.008478364339</v>
      </c>
      <c r="T279" s="288">
        <f t="shared" si="225"/>
        <v>0.008478364339</v>
      </c>
    </row>
    <row r="280" ht="12.75" customHeight="1">
      <c r="C280" s="386">
        <v>2025.0</v>
      </c>
      <c r="F280" s="387">
        <f t="array" ref="F280:F284">TRANSPOSE(P260:T260)</f>
        <v>0.1798782667</v>
      </c>
      <c r="H280" s="153" t="s">
        <v>36</v>
      </c>
      <c r="I280" s="153"/>
      <c r="P280" s="388"/>
      <c r="Q280" s="288">
        <f t="shared" ref="Q280:T280" si="226">$F281*$F277/2</f>
        <v>0.004898056549</v>
      </c>
      <c r="R280" s="288">
        <f t="shared" si="226"/>
        <v>0.004898056549</v>
      </c>
      <c r="S280" s="288">
        <f t="shared" si="226"/>
        <v>0.004898056549</v>
      </c>
      <c r="T280" s="288">
        <f t="shared" si="226"/>
        <v>0.004898056549</v>
      </c>
    </row>
    <row r="281" ht="12.75" customHeight="1">
      <c r="C281" s="386">
        <v>2026.0</v>
      </c>
      <c r="F281" s="387">
        <v>0.20783582466806805</v>
      </c>
      <c r="H281" s="153" t="s">
        <v>36</v>
      </c>
      <c r="I281" s="153"/>
      <c r="P281" s="388"/>
      <c r="Q281" s="388"/>
      <c r="R281" s="288">
        <f t="shared" ref="R281:T281" si="227">$F282*$F277/2</f>
        <v>0.005436815035</v>
      </c>
      <c r="S281" s="288">
        <f t="shared" si="227"/>
        <v>0.005436815035</v>
      </c>
      <c r="T281" s="288">
        <f t="shared" si="227"/>
        <v>0.005436815035</v>
      </c>
    </row>
    <row r="282" ht="12.75" customHeight="1">
      <c r="C282" s="386">
        <v>2027.0</v>
      </c>
      <c r="F282" s="387">
        <v>0.23069658854669517</v>
      </c>
      <c r="H282" s="153" t="s">
        <v>36</v>
      </c>
      <c r="I282" s="153"/>
      <c r="P282" s="388"/>
      <c r="Q282" s="388"/>
      <c r="R282" s="388"/>
      <c r="S282" s="288">
        <f t="shared" ref="S282:T282" si="228">$F283*$F277/2</f>
        <v>0.005436815035</v>
      </c>
      <c r="T282" s="288">
        <f t="shared" si="228"/>
        <v>0.005436815035</v>
      </c>
    </row>
    <row r="283" ht="12.75" customHeight="1">
      <c r="C283" s="386">
        <v>2028.0</v>
      </c>
      <c r="F283" s="387">
        <v>0.23069658854669517</v>
      </c>
      <c r="H283" s="153" t="s">
        <v>36</v>
      </c>
      <c r="I283" s="153"/>
      <c r="P283" s="388"/>
      <c r="Q283" s="388"/>
      <c r="R283" s="388"/>
      <c r="S283" s="388"/>
      <c r="T283" s="288">
        <f>$F284*$F277/2</f>
        <v>0.004239182169</v>
      </c>
    </row>
    <row r="284" ht="12.75" customHeight="1">
      <c r="C284" s="392">
        <v>2029.0</v>
      </c>
      <c r="F284" s="393">
        <v>0.1798782666870122</v>
      </c>
      <c r="H284" s="391" t="s">
        <v>36</v>
      </c>
      <c r="I284" s="391"/>
    </row>
    <row r="285" ht="12.75" customHeight="1"/>
    <row r="286" ht="12.75" customHeight="1"/>
    <row r="287" ht="12.75" customHeight="1">
      <c r="C287" s="196" t="s">
        <v>362</v>
      </c>
    </row>
    <row r="288" ht="12.75" customHeight="1">
      <c r="C288" s="360" t="s">
        <v>347</v>
      </c>
      <c r="D288" s="361"/>
      <c r="E288" s="361"/>
      <c r="F288" s="361"/>
      <c r="G288" s="361"/>
      <c r="H288" s="361" t="s">
        <v>36</v>
      </c>
      <c r="I288" s="361"/>
      <c r="J288" s="360" t="str">
        <f>+$E$47</f>
        <v/>
      </c>
      <c r="K288" s="362">
        <f>+$J$47</f>
        <v>355.816</v>
      </c>
      <c r="L288" s="362">
        <f>+$K$47</f>
        <v>479.759</v>
      </c>
      <c r="M288" s="362">
        <f>+$L$47</f>
        <v>497.908</v>
      </c>
      <c r="N288" s="362">
        <f>+$M$47</f>
        <v>399.352</v>
      </c>
      <c r="O288" s="362">
        <f>+$N$47</f>
        <v>430.633</v>
      </c>
      <c r="P288" s="363">
        <f t="shared" ref="P288:T288" si="229">+O291</f>
        <v>444.796</v>
      </c>
      <c r="Q288" s="363">
        <f t="shared" si="229"/>
        <v>460.831598</v>
      </c>
      <c r="R288" s="363">
        <f t="shared" si="229"/>
        <v>479.3595269</v>
      </c>
      <c r="S288" s="363">
        <f t="shared" si="229"/>
        <v>499.925423</v>
      </c>
      <c r="T288" s="363">
        <f t="shared" si="229"/>
        <v>520.4913191</v>
      </c>
    </row>
    <row r="289" ht="12.75" customHeight="1">
      <c r="C289" s="17" t="s">
        <v>299</v>
      </c>
      <c r="E289" s="364"/>
      <c r="F289" s="364"/>
      <c r="G289" s="364"/>
      <c r="H289" s="364" t="s">
        <v>36</v>
      </c>
      <c r="I289" s="364"/>
      <c r="J289" s="365">
        <f>+$J$59</f>
        <v>16.964</v>
      </c>
      <c r="K289" s="365">
        <f>+$K$59</f>
        <v>13.83</v>
      </c>
      <c r="L289" s="365">
        <f>+$J$59</f>
        <v>16.964</v>
      </c>
      <c r="M289" s="365">
        <f>+$K$59</f>
        <v>13.83</v>
      </c>
      <c r="N289" s="365">
        <f>+$J$59</f>
        <v>16.964</v>
      </c>
      <c r="O289" s="365">
        <f>+$K$59</f>
        <v>13.83</v>
      </c>
      <c r="P289" s="257">
        <f>$P$59</f>
        <v>16.03559798</v>
      </c>
      <c r="Q289" s="257">
        <f>$Q$59</f>
        <v>18.52792887</v>
      </c>
      <c r="R289" s="257">
        <f>$R$59</f>
        <v>20.56589614</v>
      </c>
      <c r="S289" s="257">
        <f>$S$59</f>
        <v>20.56589614</v>
      </c>
      <c r="T289" s="257">
        <f>$T$59</f>
        <v>21.23529574</v>
      </c>
    </row>
    <row r="290" ht="12.75" customHeight="1">
      <c r="C290" s="17" t="s">
        <v>348</v>
      </c>
      <c r="E290" s="364"/>
      <c r="F290" s="364"/>
      <c r="G290" s="364"/>
      <c r="H290" s="364" t="s">
        <v>36</v>
      </c>
      <c r="I290" s="364"/>
      <c r="J290" s="365">
        <f t="shared" ref="J290:O290" si="230">+J291-(J288+J289)</f>
        <v>338.852</v>
      </c>
      <c r="K290" s="365">
        <f t="shared" si="230"/>
        <v>110.113</v>
      </c>
      <c r="L290" s="365">
        <f t="shared" si="230"/>
        <v>1.185</v>
      </c>
      <c r="M290" s="365">
        <f t="shared" si="230"/>
        <v>-112.386</v>
      </c>
      <c r="N290" s="365">
        <f t="shared" si="230"/>
        <v>14.317</v>
      </c>
      <c r="O290" s="365">
        <f t="shared" si="230"/>
        <v>0.333</v>
      </c>
      <c r="P290" s="366">
        <v>0.0</v>
      </c>
      <c r="Q290" s="366">
        <v>0.0</v>
      </c>
      <c r="R290" s="366">
        <v>0.0</v>
      </c>
      <c r="S290" s="366">
        <v>0.0</v>
      </c>
      <c r="T290" s="366">
        <v>0.0</v>
      </c>
    </row>
    <row r="291" ht="12.75" customHeight="1">
      <c r="C291" s="367" t="s">
        <v>349</v>
      </c>
      <c r="D291" s="368"/>
      <c r="E291" s="368"/>
      <c r="F291" s="368"/>
      <c r="G291" s="368"/>
      <c r="H291" s="368" t="s">
        <v>36</v>
      </c>
      <c r="I291" s="368"/>
      <c r="J291" s="369">
        <f>+$J$47</f>
        <v>355.816</v>
      </c>
      <c r="K291" s="369">
        <f>+$K$47</f>
        <v>479.759</v>
      </c>
      <c r="L291" s="369">
        <f>+$L$47</f>
        <v>497.908</v>
      </c>
      <c r="M291" s="369">
        <f>+$M$47</f>
        <v>399.352</v>
      </c>
      <c r="N291" s="369">
        <f>+$N$47</f>
        <v>430.633</v>
      </c>
      <c r="O291" s="369">
        <f>+$O$47</f>
        <v>444.796</v>
      </c>
      <c r="P291" s="370">
        <f t="shared" ref="P291:T291" si="231">SUM(P288:P290)</f>
        <v>460.831598</v>
      </c>
      <c r="Q291" s="370">
        <f t="shared" si="231"/>
        <v>479.3595269</v>
      </c>
      <c r="R291" s="370">
        <f t="shared" si="231"/>
        <v>499.925423</v>
      </c>
      <c r="S291" s="370">
        <f t="shared" si="231"/>
        <v>520.4913191</v>
      </c>
      <c r="T291" s="370">
        <f t="shared" si="231"/>
        <v>541.7266149</v>
      </c>
    </row>
    <row r="292" ht="12.75" customHeight="1">
      <c r="C292" s="367" t="s">
        <v>350</v>
      </c>
      <c r="D292" s="368"/>
      <c r="E292" s="368"/>
      <c r="F292" s="368"/>
      <c r="G292" s="368"/>
      <c r="H292" s="368" t="s">
        <v>36</v>
      </c>
      <c r="I292" s="368"/>
      <c r="J292" s="371">
        <f t="shared" ref="J292:O292" si="232">-I74</f>
        <v>0</v>
      </c>
      <c r="K292" s="369">
        <f t="shared" si="232"/>
        <v>-259.841</v>
      </c>
      <c r="L292" s="369">
        <f t="shared" si="232"/>
        <v>-364.208</v>
      </c>
      <c r="M292" s="369">
        <f t="shared" si="232"/>
        <v>-386.98</v>
      </c>
      <c r="N292" s="369">
        <f t="shared" si="232"/>
        <v>-288.02</v>
      </c>
      <c r="O292" s="369">
        <f t="shared" si="232"/>
        <v>-330.33</v>
      </c>
      <c r="P292" s="257">
        <f t="shared" ref="P292:T292" si="233">+O295</f>
        <v>-351.243</v>
      </c>
      <c r="Q292" s="257">
        <f t="shared" si="233"/>
        <v>-350.8486626</v>
      </c>
      <c r="R292" s="257">
        <f t="shared" si="233"/>
        <v>-349.6043608</v>
      </c>
      <c r="S292" s="257">
        <f t="shared" si="233"/>
        <v>-347.8543153</v>
      </c>
      <c r="T292" s="257">
        <f t="shared" si="233"/>
        <v>-345.5985262</v>
      </c>
    </row>
    <row r="293" ht="12.75" customHeight="1">
      <c r="C293" s="17" t="s">
        <v>342</v>
      </c>
      <c r="E293" s="364"/>
      <c r="F293" s="364"/>
      <c r="G293" s="364"/>
      <c r="H293" s="364" t="s">
        <v>36</v>
      </c>
      <c r="I293" s="364"/>
      <c r="J293" s="372">
        <f t="shared" ref="J293:O293" si="234">-J86</f>
        <v>-23.353</v>
      </c>
      <c r="K293" s="372">
        <f t="shared" si="234"/>
        <v>-18.103</v>
      </c>
      <c r="L293" s="372">
        <f t="shared" si="234"/>
        <v>-22.966</v>
      </c>
      <c r="M293" s="372">
        <f t="shared" si="234"/>
        <v>-24.321</v>
      </c>
      <c r="N293" s="372">
        <f t="shared" si="234"/>
        <v>-24.19</v>
      </c>
      <c r="O293" s="372">
        <f t="shared" si="234"/>
        <v>-21.528</v>
      </c>
      <c r="P293" s="257">
        <f t="shared" ref="P293:T293" si="235">SUM(P304,P306)</f>
        <v>0.3943373517</v>
      </c>
      <c r="Q293" s="257">
        <f t="shared" si="235"/>
        <v>1.24430189</v>
      </c>
      <c r="R293" s="257">
        <f t="shared" si="235"/>
        <v>1.750045488</v>
      </c>
      <c r="S293" s="257">
        <f t="shared" si="235"/>
        <v>2.255789086</v>
      </c>
      <c r="T293" s="257">
        <f t="shared" si="235"/>
        <v>2.777994138</v>
      </c>
    </row>
    <row r="294" ht="12.75" customHeight="1">
      <c r="C294" s="17" t="s">
        <v>348</v>
      </c>
      <c r="E294" s="364"/>
      <c r="F294" s="364"/>
      <c r="G294" s="364"/>
      <c r="H294" s="364" t="s">
        <v>36</v>
      </c>
      <c r="I294" s="364"/>
      <c r="J294" s="372">
        <f t="shared" ref="J294:O294" si="236">+J295-(J292+J293)</f>
        <v>-236.488</v>
      </c>
      <c r="K294" s="372">
        <f t="shared" si="236"/>
        <v>-86.264</v>
      </c>
      <c r="L294" s="372">
        <f t="shared" si="236"/>
        <v>0.194</v>
      </c>
      <c r="M294" s="372">
        <f t="shared" si="236"/>
        <v>123.281</v>
      </c>
      <c r="N294" s="372">
        <f t="shared" si="236"/>
        <v>-18.12</v>
      </c>
      <c r="O294" s="372">
        <f t="shared" si="236"/>
        <v>0.615</v>
      </c>
      <c r="P294" s="366">
        <v>0.0</v>
      </c>
      <c r="Q294" s="366">
        <v>0.0</v>
      </c>
      <c r="R294" s="366">
        <v>0.0</v>
      </c>
      <c r="S294" s="366">
        <v>0.0</v>
      </c>
      <c r="T294" s="366">
        <v>0.0</v>
      </c>
    </row>
    <row r="295" ht="12.75" customHeight="1">
      <c r="C295" s="367" t="s">
        <v>351</v>
      </c>
      <c r="D295" s="368"/>
      <c r="E295" s="368"/>
      <c r="F295" s="368"/>
      <c r="G295" s="368"/>
      <c r="H295" s="368" t="s">
        <v>36</v>
      </c>
      <c r="I295" s="368"/>
      <c r="J295" s="373">
        <f t="shared" ref="J295:O295" si="237">-J74</f>
        <v>-259.841</v>
      </c>
      <c r="K295" s="373">
        <f t="shared" si="237"/>
        <v>-364.208</v>
      </c>
      <c r="L295" s="373">
        <f t="shared" si="237"/>
        <v>-386.98</v>
      </c>
      <c r="M295" s="373">
        <f t="shared" si="237"/>
        <v>-288.02</v>
      </c>
      <c r="N295" s="373">
        <f t="shared" si="237"/>
        <v>-330.33</v>
      </c>
      <c r="O295" s="373">
        <f t="shared" si="237"/>
        <v>-351.243</v>
      </c>
      <c r="P295" s="374">
        <f t="shared" ref="P295:T295" si="238">SUM(P292:P294)</f>
        <v>-350.8486626</v>
      </c>
      <c r="Q295" s="374">
        <f t="shared" si="238"/>
        <v>-349.6043608</v>
      </c>
      <c r="R295" s="374">
        <f t="shared" si="238"/>
        <v>-347.8543153</v>
      </c>
      <c r="S295" s="374">
        <f t="shared" si="238"/>
        <v>-345.5985262</v>
      </c>
      <c r="T295" s="374">
        <f t="shared" si="238"/>
        <v>-342.820532</v>
      </c>
    </row>
    <row r="296" ht="12.75" customHeight="1">
      <c r="C296" s="367" t="s">
        <v>304</v>
      </c>
      <c r="D296" s="368"/>
      <c r="E296" s="368"/>
      <c r="F296" s="368"/>
      <c r="G296" s="368"/>
      <c r="H296" s="368" t="s">
        <v>36</v>
      </c>
      <c r="I296" s="368"/>
      <c r="J296" s="373">
        <f>+J98</f>
        <v>0</v>
      </c>
      <c r="K296" s="373">
        <f>K98</f>
        <v>-0.698</v>
      </c>
      <c r="L296" s="373">
        <f>+L98</f>
        <v>-4.587</v>
      </c>
      <c r="M296" s="373">
        <f>M98</f>
        <v>-1.747</v>
      </c>
      <c r="N296" s="373">
        <f>+N98</f>
        <v>0</v>
      </c>
      <c r="O296" s="373">
        <f>O98</f>
        <v>0</v>
      </c>
      <c r="P296" s="374">
        <f>-P98</f>
        <v>0</v>
      </c>
      <c r="Q296" s="374">
        <f>Q98</f>
        <v>0</v>
      </c>
      <c r="R296" s="374">
        <f>-R98</f>
        <v>0</v>
      </c>
      <c r="S296" s="374">
        <f>S98</f>
        <v>0</v>
      </c>
      <c r="T296" s="374">
        <f>-T98</f>
        <v>0</v>
      </c>
    </row>
    <row r="297" ht="12.75" customHeight="1">
      <c r="C297" s="375" t="s">
        <v>352</v>
      </c>
      <c r="D297" s="376"/>
      <c r="E297" s="376"/>
      <c r="F297" s="376"/>
      <c r="G297" s="376"/>
      <c r="H297" s="376" t="s">
        <v>36</v>
      </c>
      <c r="I297" s="376"/>
      <c r="J297" s="377">
        <f t="shared" ref="J297:O297" si="239">+J291+J295+J296</f>
        <v>95.975</v>
      </c>
      <c r="K297" s="377">
        <f t="shared" si="239"/>
        <v>114.853</v>
      </c>
      <c r="L297" s="377">
        <f t="shared" si="239"/>
        <v>106.341</v>
      </c>
      <c r="M297" s="377">
        <f t="shared" si="239"/>
        <v>109.585</v>
      </c>
      <c r="N297" s="377">
        <f t="shared" si="239"/>
        <v>100.303</v>
      </c>
      <c r="O297" s="377">
        <f t="shared" si="239"/>
        <v>93.553</v>
      </c>
      <c r="P297" s="378">
        <f t="shared" ref="P297:T297" si="240">P291+P295+P296</f>
        <v>109.9829353</v>
      </c>
      <c r="Q297" s="378">
        <f t="shared" si="240"/>
        <v>129.7551661</v>
      </c>
      <c r="R297" s="378">
        <f t="shared" si="240"/>
        <v>152.0711077</v>
      </c>
      <c r="S297" s="378">
        <f t="shared" si="240"/>
        <v>174.892793</v>
      </c>
      <c r="T297" s="377">
        <f t="shared" si="240"/>
        <v>198.9060828</v>
      </c>
    </row>
    <row r="298" ht="12.75" customHeight="1"/>
    <row r="299" ht="12.75" customHeight="1"/>
    <row r="300" ht="12.75" customHeight="1">
      <c r="C300" s="379" t="s">
        <v>353</v>
      </c>
      <c r="D300" s="290"/>
      <c r="E300" s="290"/>
      <c r="F300" s="290"/>
      <c r="G300" s="290"/>
      <c r="H300" s="177" t="s">
        <v>32</v>
      </c>
      <c r="I300" s="177"/>
      <c r="J300" s="380"/>
      <c r="K300" s="380">
        <f t="shared" ref="K300:O300" si="241">-K293/AVERAGE(K291,K288)</f>
        <v>0.04333064058</v>
      </c>
      <c r="L300" s="380">
        <f t="shared" si="241"/>
        <v>0.04698123185</v>
      </c>
      <c r="M300" s="380">
        <f t="shared" si="241"/>
        <v>0.05421171121</v>
      </c>
      <c r="N300" s="380">
        <f t="shared" si="241"/>
        <v>0.05829021006</v>
      </c>
      <c r="O300" s="380">
        <f t="shared" si="241"/>
        <v>0.04918274355</v>
      </c>
    </row>
    <row r="301" ht="12.75" customHeight="1"/>
    <row r="302" ht="12.75" customHeight="1">
      <c r="C302" s="154" t="s">
        <v>354</v>
      </c>
    </row>
    <row r="303" ht="12.75" customHeight="1"/>
    <row r="304" ht="12.75" customHeight="1">
      <c r="C304" s="171" t="s">
        <v>355</v>
      </c>
      <c r="F304" s="382">
        <f>+O300</f>
        <v>0.04918274355</v>
      </c>
      <c r="H304" s="153" t="s">
        <v>36</v>
      </c>
      <c r="I304" s="153"/>
      <c r="J304" s="383">
        <v>0.0</v>
      </c>
      <c r="K304" s="383">
        <v>0.0</v>
      </c>
      <c r="L304" s="383">
        <v>0.0</v>
      </c>
      <c r="M304" s="383">
        <v>0.0</v>
      </c>
      <c r="N304" s="383">
        <v>0.0</v>
      </c>
      <c r="O304" s="383">
        <v>0.0</v>
      </c>
      <c r="P304" s="288">
        <f t="shared" ref="P304:T304" si="242">-IF($O290+$O295+$O290*$F304&lt;0,0,MIN($O290+$O295+SUM($O304:O304),$O290*$F$46))</f>
        <v>0</v>
      </c>
      <c r="Q304" s="288">
        <f t="shared" si="242"/>
        <v>0</v>
      </c>
      <c r="R304" s="288">
        <f t="shared" si="242"/>
        <v>0</v>
      </c>
      <c r="S304" s="288">
        <f t="shared" si="242"/>
        <v>0</v>
      </c>
      <c r="T304" s="288">
        <f t="shared" si="242"/>
        <v>0</v>
      </c>
    </row>
    <row r="305" ht="12.75" customHeight="1">
      <c r="H305" s="153"/>
      <c r="I305" s="153"/>
    </row>
    <row r="306" ht="12.75" customHeight="1">
      <c r="C306" s="154" t="s">
        <v>356</v>
      </c>
      <c r="F306" s="382">
        <f>+F304</f>
        <v>0.04918274355</v>
      </c>
      <c r="H306" s="153" t="s">
        <v>36</v>
      </c>
      <c r="I306" s="153"/>
      <c r="P306" s="288">
        <f t="shared" ref="P306:T306" si="243">SUM(P308:P312)</f>
        <v>0.3943373517</v>
      </c>
      <c r="Q306" s="288">
        <f t="shared" si="243"/>
        <v>1.24430189</v>
      </c>
      <c r="R306" s="288">
        <f t="shared" si="243"/>
        <v>1.750045488</v>
      </c>
      <c r="S306" s="288">
        <f t="shared" si="243"/>
        <v>2.255789086</v>
      </c>
      <c r="T306" s="288">
        <f t="shared" si="243"/>
        <v>2.777994138</v>
      </c>
    </row>
    <row r="307" ht="12.75" customHeight="1">
      <c r="F307" s="391"/>
      <c r="H307" s="153"/>
      <c r="I307" s="153"/>
    </row>
    <row r="308" ht="12.75" customHeight="1">
      <c r="C308" s="384" t="s">
        <v>171</v>
      </c>
      <c r="F308" s="385" t="s">
        <v>299</v>
      </c>
      <c r="H308" s="153"/>
      <c r="I308" s="153"/>
      <c r="P308" s="288">
        <f>$F306*$F309/2</f>
        <v>0.3943373517</v>
      </c>
      <c r="Q308" s="288">
        <f t="shared" ref="Q308:T308" si="244">$F309*$F306</f>
        <v>0.7886747033</v>
      </c>
      <c r="R308" s="288">
        <f t="shared" si="244"/>
        <v>0.7886747033</v>
      </c>
      <c r="S308" s="288">
        <f t="shared" si="244"/>
        <v>0.7886747033</v>
      </c>
      <c r="T308" s="288">
        <f t="shared" si="244"/>
        <v>0.7886747033</v>
      </c>
    </row>
    <row r="309" ht="12.75" customHeight="1">
      <c r="C309" s="386">
        <v>2025.0</v>
      </c>
      <c r="F309" s="387">
        <f t="array" ref="F309:F313">TRANSPOSE(P289:T289)</f>
        <v>16.03559798</v>
      </c>
      <c r="H309" s="153" t="s">
        <v>36</v>
      </c>
      <c r="I309" s="153"/>
      <c r="P309" s="388"/>
      <c r="Q309" s="288">
        <f t="shared" ref="Q309:T309" si="245">$F310*$F306/2</f>
        <v>0.4556271871</v>
      </c>
      <c r="R309" s="288">
        <f t="shared" si="245"/>
        <v>0.4556271871</v>
      </c>
      <c r="S309" s="288">
        <f t="shared" si="245"/>
        <v>0.4556271871</v>
      </c>
      <c r="T309" s="288">
        <f t="shared" si="245"/>
        <v>0.4556271871</v>
      </c>
    </row>
    <row r="310" ht="12.75" customHeight="1">
      <c r="C310" s="386">
        <v>2026.0</v>
      </c>
      <c r="F310" s="387">
        <v>18.527928874486626</v>
      </c>
      <c r="H310" s="153" t="s">
        <v>36</v>
      </c>
      <c r="I310" s="153"/>
      <c r="P310" s="388"/>
      <c r="Q310" s="388"/>
      <c r="R310" s="288">
        <f t="shared" ref="R310:T310" si="246">$F311*$F306/2</f>
        <v>0.5057435978</v>
      </c>
      <c r="S310" s="288">
        <f t="shared" si="246"/>
        <v>0.5057435978</v>
      </c>
      <c r="T310" s="288">
        <f t="shared" si="246"/>
        <v>0.5057435978</v>
      </c>
    </row>
    <row r="311" ht="12.75" customHeight="1">
      <c r="C311" s="386">
        <v>2027.0</v>
      </c>
      <c r="F311" s="387">
        <v>20.565896139447336</v>
      </c>
      <c r="H311" s="153" t="s">
        <v>36</v>
      </c>
      <c r="I311" s="153"/>
      <c r="P311" s="388"/>
      <c r="Q311" s="388"/>
      <c r="R311" s="388"/>
      <c r="S311" s="288">
        <f t="shared" ref="S311:T311" si="247">$F312*$F306/2</f>
        <v>0.5057435978</v>
      </c>
      <c r="T311" s="288">
        <f t="shared" si="247"/>
        <v>0.5057435978</v>
      </c>
    </row>
    <row r="312" ht="12.75" customHeight="1">
      <c r="C312" s="386">
        <v>2028.0</v>
      </c>
      <c r="F312" s="387">
        <v>20.565896139447336</v>
      </c>
      <c r="H312" s="153" t="s">
        <v>36</v>
      </c>
      <c r="I312" s="153"/>
      <c r="P312" s="388"/>
      <c r="Q312" s="388"/>
      <c r="R312" s="388"/>
      <c r="S312" s="388"/>
      <c r="T312" s="288">
        <f>$F313*$F306/2</f>
        <v>0.5222050522</v>
      </c>
    </row>
    <row r="313" ht="12.75" customHeight="1">
      <c r="C313" s="392">
        <v>2029.0</v>
      </c>
      <c r="F313" s="393">
        <v>21.23529573788719</v>
      </c>
      <c r="H313" s="391" t="s">
        <v>36</v>
      </c>
      <c r="I313" s="391"/>
    </row>
    <row r="314" ht="12.75" customHeight="1">
      <c r="H314" s="153"/>
      <c r="I314" s="153"/>
    </row>
    <row r="315" ht="12.75" customHeight="1"/>
    <row r="316" ht="12.75" customHeight="1">
      <c r="C316" s="196" t="s">
        <v>363</v>
      </c>
    </row>
    <row r="317" ht="12.75" customHeight="1">
      <c r="C317" s="360" t="s">
        <v>347</v>
      </c>
      <c r="D317" s="361"/>
      <c r="E317" s="361"/>
      <c r="F317" s="361"/>
      <c r="G317" s="361"/>
      <c r="H317" s="361" t="s">
        <v>36</v>
      </c>
      <c r="I317" s="361"/>
      <c r="J317" s="360" t="str">
        <f>+$E$41</f>
        <v/>
      </c>
      <c r="K317" s="362">
        <f>+$J$48</f>
        <v>3.724</v>
      </c>
      <c r="L317" s="362">
        <f>+$K$48</f>
        <v>9.326</v>
      </c>
      <c r="M317" s="362">
        <f>+$L$48</f>
        <v>1.602</v>
      </c>
      <c r="N317" s="362">
        <f>+$K$48</f>
        <v>9.326</v>
      </c>
      <c r="O317" s="362">
        <f>+$J$48</f>
        <v>3.724</v>
      </c>
      <c r="P317" s="363">
        <f t="shared" ref="P317:T317" si="248">+O320</f>
        <v>0.565</v>
      </c>
      <c r="Q317" s="363">
        <f t="shared" si="248"/>
        <v>1.784088288</v>
      </c>
      <c r="R317" s="363">
        <f t="shared" si="248"/>
        <v>3.192653227</v>
      </c>
      <c r="S317" s="363">
        <f t="shared" si="248"/>
        <v>4.756152333</v>
      </c>
      <c r="T317" s="363">
        <f t="shared" si="248"/>
        <v>6.319651439</v>
      </c>
    </row>
    <row r="318" ht="12.75" customHeight="1">
      <c r="C318" s="17" t="s">
        <v>299</v>
      </c>
      <c r="E318" s="364"/>
      <c r="F318" s="364"/>
      <c r="G318" s="364"/>
      <c r="H318" s="364" t="s">
        <v>36</v>
      </c>
      <c r="I318" s="364"/>
      <c r="J318" s="365">
        <f>+$J$60</f>
        <v>4</v>
      </c>
      <c r="K318" s="365">
        <f>+$K$60</f>
        <v>6.066</v>
      </c>
      <c r="L318" s="365">
        <f>+$L$60</f>
        <v>0</v>
      </c>
      <c r="M318" s="365">
        <f>+$M$60</f>
        <v>1.288</v>
      </c>
      <c r="N318" s="365">
        <f>+$N$60</f>
        <v>1.874</v>
      </c>
      <c r="O318" s="365">
        <f>+$O$60</f>
        <v>0.222</v>
      </c>
      <c r="P318" s="257">
        <f>$P$60</f>
        <v>1.219088288</v>
      </c>
      <c r="Q318" s="257">
        <f>$Q$60</f>
        <v>1.408564939</v>
      </c>
      <c r="R318" s="257">
        <f>$R$60</f>
        <v>1.563499106</v>
      </c>
      <c r="S318" s="257">
        <f>$S$60</f>
        <v>1.563499106</v>
      </c>
      <c r="T318" s="257">
        <f>$T$60</f>
        <v>1.614389457</v>
      </c>
    </row>
    <row r="319" ht="12.75" customHeight="1">
      <c r="C319" s="17" t="s">
        <v>348</v>
      </c>
      <c r="E319" s="364"/>
      <c r="F319" s="364"/>
      <c r="G319" s="364"/>
      <c r="H319" s="364" t="s">
        <v>36</v>
      </c>
      <c r="I319" s="364"/>
      <c r="J319" s="365">
        <f t="shared" ref="J319:O319" si="249">+J320-(J317+J318)</f>
        <v>-0.276</v>
      </c>
      <c r="K319" s="365">
        <f t="shared" si="249"/>
        <v>-0.464</v>
      </c>
      <c r="L319" s="365">
        <f t="shared" si="249"/>
        <v>-7.724</v>
      </c>
      <c r="M319" s="365">
        <f t="shared" si="249"/>
        <v>-1.27</v>
      </c>
      <c r="N319" s="365">
        <f t="shared" si="249"/>
        <v>-7.956</v>
      </c>
      <c r="O319" s="365">
        <f t="shared" si="249"/>
        <v>-3.381</v>
      </c>
      <c r="P319" s="366">
        <v>0.0</v>
      </c>
      <c r="Q319" s="366">
        <v>0.0</v>
      </c>
      <c r="R319" s="366">
        <v>0.0</v>
      </c>
      <c r="S319" s="366">
        <v>0.0</v>
      </c>
      <c r="T319" s="366">
        <v>0.0</v>
      </c>
    </row>
    <row r="320" ht="12.75" customHeight="1">
      <c r="C320" s="367" t="s">
        <v>349</v>
      </c>
      <c r="D320" s="368"/>
      <c r="E320" s="368"/>
      <c r="F320" s="368"/>
      <c r="G320" s="368"/>
      <c r="H320" s="368" t="s">
        <v>36</v>
      </c>
      <c r="I320" s="368"/>
      <c r="J320" s="369">
        <f>+$J$48</f>
        <v>3.724</v>
      </c>
      <c r="K320" s="369">
        <f>+$K$48</f>
        <v>9.326</v>
      </c>
      <c r="L320" s="369">
        <f>+$L$48</f>
        <v>1.602</v>
      </c>
      <c r="M320" s="369">
        <f>+$M$48</f>
        <v>1.62</v>
      </c>
      <c r="N320" s="369">
        <f>+$N$48</f>
        <v>3.244</v>
      </c>
      <c r="O320" s="369">
        <f>+$O$48</f>
        <v>0.565</v>
      </c>
      <c r="P320" s="370">
        <f t="shared" ref="P320:T320" si="250">SUM(P317:P319)</f>
        <v>1.784088288</v>
      </c>
      <c r="Q320" s="370">
        <f t="shared" si="250"/>
        <v>3.192653227</v>
      </c>
      <c r="R320" s="370">
        <f t="shared" si="250"/>
        <v>4.756152333</v>
      </c>
      <c r="S320" s="370">
        <f t="shared" si="250"/>
        <v>6.319651439</v>
      </c>
      <c r="T320" s="370">
        <f t="shared" si="250"/>
        <v>7.934040896</v>
      </c>
    </row>
    <row r="321" ht="12.75" customHeight="1">
      <c r="C321" s="367" t="s">
        <v>350</v>
      </c>
      <c r="D321" s="368"/>
      <c r="E321" s="368"/>
      <c r="F321" s="368"/>
      <c r="G321" s="368"/>
      <c r="H321" s="368" t="s">
        <v>36</v>
      </c>
      <c r="I321" s="368"/>
      <c r="J321" s="371">
        <f t="shared" ref="J321:O321" si="251">-I75</f>
        <v>0</v>
      </c>
      <c r="K321" s="369">
        <f t="shared" si="251"/>
        <v>0</v>
      </c>
      <c r="L321" s="369">
        <f t="shared" si="251"/>
        <v>0</v>
      </c>
      <c r="M321" s="369">
        <f t="shared" si="251"/>
        <v>0</v>
      </c>
      <c r="N321" s="369">
        <f t="shared" si="251"/>
        <v>0</v>
      </c>
      <c r="O321" s="369">
        <f t="shared" si="251"/>
        <v>0</v>
      </c>
      <c r="P321" s="257">
        <f t="shared" ref="P321:T321" si="252">+O324</f>
        <v>0</v>
      </c>
      <c r="Q321" s="257">
        <f t="shared" si="252"/>
        <v>0</v>
      </c>
      <c r="R321" s="257">
        <f t="shared" si="252"/>
        <v>0</v>
      </c>
      <c r="S321" s="257">
        <f t="shared" si="252"/>
        <v>0</v>
      </c>
      <c r="T321" s="257">
        <f t="shared" si="252"/>
        <v>0</v>
      </c>
    </row>
    <row r="322" ht="12.75" customHeight="1">
      <c r="C322" s="17" t="s">
        <v>342</v>
      </c>
      <c r="E322" s="364"/>
      <c r="F322" s="364"/>
      <c r="G322" s="364"/>
      <c r="H322" s="364" t="s">
        <v>36</v>
      </c>
      <c r="I322" s="364"/>
      <c r="J322" s="372">
        <f t="shared" ref="J322:O322" si="253">-J87</f>
        <v>0</v>
      </c>
      <c r="K322" s="372">
        <f t="shared" si="253"/>
        <v>0</v>
      </c>
      <c r="L322" s="372">
        <f t="shared" si="253"/>
        <v>0</v>
      </c>
      <c r="M322" s="372">
        <f t="shared" si="253"/>
        <v>0</v>
      </c>
      <c r="N322" s="372">
        <f t="shared" si="253"/>
        <v>0</v>
      </c>
      <c r="O322" s="372">
        <f t="shared" si="253"/>
        <v>0</v>
      </c>
      <c r="P322" s="257">
        <f t="shared" ref="P322:T322" si="254">SUM(P333,P335)</f>
        <v>0</v>
      </c>
      <c r="Q322" s="257">
        <f t="shared" si="254"/>
        <v>0</v>
      </c>
      <c r="R322" s="257">
        <f t="shared" si="254"/>
        <v>0</v>
      </c>
      <c r="S322" s="257">
        <f t="shared" si="254"/>
        <v>0</v>
      </c>
      <c r="T322" s="257">
        <f t="shared" si="254"/>
        <v>0</v>
      </c>
    </row>
    <row r="323" ht="12.75" customHeight="1">
      <c r="C323" s="17" t="s">
        <v>348</v>
      </c>
      <c r="E323" s="364"/>
      <c r="F323" s="364"/>
      <c r="G323" s="364"/>
      <c r="H323" s="364" t="s">
        <v>36</v>
      </c>
      <c r="I323" s="364"/>
      <c r="J323" s="372">
        <f t="shared" ref="J323:O323" si="255">+J324-(J321+J322)</f>
        <v>0</v>
      </c>
      <c r="K323" s="372">
        <f t="shared" si="255"/>
        <v>0</v>
      </c>
      <c r="L323" s="372">
        <f t="shared" si="255"/>
        <v>0</v>
      </c>
      <c r="M323" s="372">
        <f t="shared" si="255"/>
        <v>0</v>
      </c>
      <c r="N323" s="372">
        <f t="shared" si="255"/>
        <v>0</v>
      </c>
      <c r="O323" s="372">
        <f t="shared" si="255"/>
        <v>0</v>
      </c>
      <c r="P323" s="366">
        <v>0.0</v>
      </c>
      <c r="Q323" s="366">
        <v>0.0</v>
      </c>
      <c r="R323" s="366">
        <v>0.0</v>
      </c>
      <c r="S323" s="366">
        <v>0.0</v>
      </c>
      <c r="T323" s="366">
        <v>0.0</v>
      </c>
    </row>
    <row r="324" ht="12.75" customHeight="1">
      <c r="C324" s="367" t="s">
        <v>351</v>
      </c>
      <c r="D324" s="368"/>
      <c r="E324" s="368"/>
      <c r="F324" s="368"/>
      <c r="G324" s="368"/>
      <c r="H324" s="368" t="s">
        <v>36</v>
      </c>
      <c r="I324" s="368"/>
      <c r="J324" s="373">
        <f t="shared" ref="J324:O324" si="256">-J75</f>
        <v>0</v>
      </c>
      <c r="K324" s="373">
        <f t="shared" si="256"/>
        <v>0</v>
      </c>
      <c r="L324" s="373">
        <f t="shared" si="256"/>
        <v>0</v>
      </c>
      <c r="M324" s="373">
        <f t="shared" si="256"/>
        <v>0</v>
      </c>
      <c r="N324" s="373">
        <f t="shared" si="256"/>
        <v>0</v>
      </c>
      <c r="O324" s="373">
        <f t="shared" si="256"/>
        <v>0</v>
      </c>
      <c r="P324" s="374">
        <f t="shared" ref="P324:T324" si="257">SUM(P321:P323)</f>
        <v>0</v>
      </c>
      <c r="Q324" s="374">
        <f t="shared" si="257"/>
        <v>0</v>
      </c>
      <c r="R324" s="374">
        <f t="shared" si="257"/>
        <v>0</v>
      </c>
      <c r="S324" s="374">
        <f t="shared" si="257"/>
        <v>0</v>
      </c>
      <c r="T324" s="374">
        <f t="shared" si="257"/>
        <v>0</v>
      </c>
    </row>
    <row r="325" ht="12.75" customHeight="1">
      <c r="A325" s="78"/>
      <c r="C325" s="367" t="s">
        <v>304</v>
      </c>
      <c r="D325" s="368"/>
      <c r="E325" s="368"/>
      <c r="F325" s="368"/>
      <c r="G325" s="368"/>
      <c r="H325" s="368" t="s">
        <v>36</v>
      </c>
      <c r="I325" s="368"/>
      <c r="J325" s="373">
        <f>+J99</f>
        <v>0</v>
      </c>
      <c r="K325" s="373">
        <f>K99</f>
        <v>-0.005</v>
      </c>
      <c r="L325" s="373">
        <f>+L99</f>
        <v>0</v>
      </c>
      <c r="M325" s="373">
        <f>M99</f>
        <v>-0.081</v>
      </c>
      <c r="N325" s="373">
        <f>+N99</f>
        <v>0</v>
      </c>
      <c r="O325" s="373">
        <f t="shared" ref="O325:T325" si="258">O99</f>
        <v>0</v>
      </c>
      <c r="P325" s="374">
        <f t="shared" si="258"/>
        <v>0</v>
      </c>
      <c r="Q325" s="374">
        <f t="shared" si="258"/>
        <v>0</v>
      </c>
      <c r="R325" s="374">
        <f t="shared" si="258"/>
        <v>0</v>
      </c>
      <c r="S325" s="374">
        <f t="shared" si="258"/>
        <v>0</v>
      </c>
      <c r="T325" s="374">
        <f t="shared" si="258"/>
        <v>0</v>
      </c>
    </row>
    <row r="326" ht="12.75" customHeight="1">
      <c r="C326" s="375" t="s">
        <v>352</v>
      </c>
      <c r="D326" s="376"/>
      <c r="E326" s="376"/>
      <c r="F326" s="376"/>
      <c r="G326" s="376"/>
      <c r="H326" s="376" t="s">
        <v>36</v>
      </c>
      <c r="I326" s="376"/>
      <c r="J326" s="377">
        <f t="shared" ref="J326:O326" si="259">+J320+J324+J325</f>
        <v>3.724</v>
      </c>
      <c r="K326" s="377">
        <f t="shared" si="259"/>
        <v>9.321</v>
      </c>
      <c r="L326" s="377">
        <f t="shared" si="259"/>
        <v>1.602</v>
      </c>
      <c r="M326" s="377">
        <f t="shared" si="259"/>
        <v>1.539</v>
      </c>
      <c r="N326" s="377">
        <f t="shared" si="259"/>
        <v>3.244</v>
      </c>
      <c r="O326" s="377">
        <f t="shared" si="259"/>
        <v>0.565</v>
      </c>
      <c r="P326" s="378">
        <f t="shared" ref="P326:T326" si="260">P320+P324+P325</f>
        <v>1.784088288</v>
      </c>
      <c r="Q326" s="378">
        <f t="shared" si="260"/>
        <v>3.192653227</v>
      </c>
      <c r="R326" s="378">
        <f t="shared" si="260"/>
        <v>4.756152333</v>
      </c>
      <c r="S326" s="378">
        <f t="shared" si="260"/>
        <v>6.319651439</v>
      </c>
      <c r="T326" s="377">
        <f t="shared" si="260"/>
        <v>7.934040896</v>
      </c>
    </row>
    <row r="327" ht="12.75" customHeight="1"/>
    <row r="328" ht="12.75" customHeight="1"/>
    <row r="329" ht="12.75" customHeight="1">
      <c r="C329" s="379" t="s">
        <v>353</v>
      </c>
      <c r="D329" s="290"/>
      <c r="E329" s="290"/>
      <c r="F329" s="290"/>
      <c r="G329" s="290"/>
      <c r="H329" s="177" t="s">
        <v>32</v>
      </c>
      <c r="I329" s="177"/>
      <c r="J329" s="380"/>
      <c r="K329" s="380">
        <f t="shared" ref="K329:O329" si="261">-K322/AVERAGE(K320,K317)</f>
        <v>0</v>
      </c>
      <c r="L329" s="380">
        <f t="shared" si="261"/>
        <v>0</v>
      </c>
      <c r="M329" s="380">
        <f t="shared" si="261"/>
        <v>0</v>
      </c>
      <c r="N329" s="380">
        <f t="shared" si="261"/>
        <v>0</v>
      </c>
      <c r="O329" s="380">
        <f t="shared" si="261"/>
        <v>0</v>
      </c>
    </row>
    <row r="330" ht="12.75" customHeight="1">
      <c r="H330" s="153"/>
      <c r="I330" s="153"/>
    </row>
    <row r="331" ht="12.75" customHeight="1">
      <c r="C331" s="154" t="s">
        <v>354</v>
      </c>
      <c r="H331" s="153"/>
      <c r="I331" s="153"/>
    </row>
    <row r="332" ht="12.75" customHeight="1">
      <c r="H332" s="153"/>
      <c r="I332" s="153"/>
    </row>
    <row r="333" ht="12.75" customHeight="1">
      <c r="C333" s="171" t="s">
        <v>355</v>
      </c>
      <c r="F333" s="382">
        <f>+O329</f>
        <v>0</v>
      </c>
      <c r="H333" s="153" t="s">
        <v>36</v>
      </c>
      <c r="I333" s="153"/>
      <c r="J333" s="383">
        <v>0.0</v>
      </c>
      <c r="K333" s="383">
        <v>0.0</v>
      </c>
      <c r="L333" s="383">
        <v>0.0</v>
      </c>
      <c r="M333" s="383">
        <v>0.0</v>
      </c>
      <c r="N333" s="383">
        <v>0.0</v>
      </c>
      <c r="O333" s="383">
        <v>0.0</v>
      </c>
      <c r="P333" s="247">
        <f t="shared" ref="P333:T333" si="262">-IF($O319+$O324+$O319*$F333&lt;0,0,MIN($O319+$O324+SUM($O333:O333),$O319*$F$46))</f>
        <v>0</v>
      </c>
      <c r="Q333" s="247">
        <f t="shared" si="262"/>
        <v>0</v>
      </c>
      <c r="R333" s="247">
        <f t="shared" si="262"/>
        <v>0</v>
      </c>
      <c r="S333" s="247">
        <f t="shared" si="262"/>
        <v>0</v>
      </c>
      <c r="T333" s="247">
        <f t="shared" si="262"/>
        <v>0</v>
      </c>
    </row>
    <row r="334" ht="12.75" customHeight="1">
      <c r="H334" s="153"/>
      <c r="I334" s="153"/>
    </row>
    <row r="335" ht="12.75" customHeight="1">
      <c r="C335" s="154" t="s">
        <v>356</v>
      </c>
      <c r="F335" s="382">
        <f>+F333</f>
        <v>0</v>
      </c>
      <c r="H335" s="153" t="s">
        <v>36</v>
      </c>
      <c r="I335" s="153"/>
      <c r="P335" s="288">
        <f t="shared" ref="P335:T335" si="263">SUM(P337:P341)</f>
        <v>0</v>
      </c>
      <c r="Q335" s="288">
        <f t="shared" si="263"/>
        <v>0</v>
      </c>
      <c r="R335" s="288">
        <f t="shared" si="263"/>
        <v>0</v>
      </c>
      <c r="S335" s="288">
        <f t="shared" si="263"/>
        <v>0</v>
      </c>
      <c r="T335" s="288">
        <f t="shared" si="263"/>
        <v>0</v>
      </c>
    </row>
    <row r="336" ht="12.75" customHeight="1">
      <c r="F336" s="391"/>
      <c r="H336" s="153"/>
      <c r="I336" s="153"/>
    </row>
    <row r="337" ht="12.75" customHeight="1">
      <c r="C337" s="384" t="s">
        <v>171</v>
      </c>
      <c r="F337" s="385" t="s">
        <v>299</v>
      </c>
      <c r="H337" s="153"/>
      <c r="I337" s="153"/>
      <c r="P337" s="288">
        <f>$F335*$F338/2</f>
        <v>0</v>
      </c>
      <c r="Q337" s="288">
        <f t="shared" ref="Q337:T337" si="264">$F338*$F335</f>
        <v>0</v>
      </c>
      <c r="R337" s="288">
        <f t="shared" si="264"/>
        <v>0</v>
      </c>
      <c r="S337" s="288">
        <f t="shared" si="264"/>
        <v>0</v>
      </c>
      <c r="T337" s="288">
        <f t="shared" si="264"/>
        <v>0</v>
      </c>
    </row>
    <row r="338" ht="12.75" customHeight="1">
      <c r="C338" s="386">
        <v>2025.0</v>
      </c>
      <c r="F338" s="387">
        <f t="array" ref="F338:F342">TRANSPOSE(P318:T318)</f>
        <v>1.219088288</v>
      </c>
      <c r="H338" s="153" t="s">
        <v>36</v>
      </c>
      <c r="I338" s="153"/>
      <c r="P338" s="388"/>
      <c r="Q338" s="288">
        <f t="shared" ref="Q338:T338" si="265">$F339*$F335/2</f>
        <v>0</v>
      </c>
      <c r="R338" s="288">
        <f t="shared" si="265"/>
        <v>0</v>
      </c>
      <c r="S338" s="288">
        <f t="shared" si="265"/>
        <v>0</v>
      </c>
      <c r="T338" s="288">
        <f t="shared" si="265"/>
        <v>0</v>
      </c>
    </row>
    <row r="339" ht="12.75" customHeight="1">
      <c r="C339" s="386">
        <v>2026.0</v>
      </c>
      <c r="F339" s="387">
        <v>1.4085649385894072</v>
      </c>
      <c r="H339" s="153" t="s">
        <v>36</v>
      </c>
      <c r="I339" s="153"/>
      <c r="P339" s="388"/>
      <c r="Q339" s="388"/>
      <c r="R339" s="288">
        <f t="shared" ref="R339:T339" si="266">$F340*$F335/2</f>
        <v>0</v>
      </c>
      <c r="S339" s="288">
        <f t="shared" si="266"/>
        <v>0</v>
      </c>
      <c r="T339" s="288">
        <f t="shared" si="266"/>
        <v>0</v>
      </c>
    </row>
    <row r="340" ht="12.75" customHeight="1">
      <c r="C340" s="386">
        <v>2027.0</v>
      </c>
      <c r="F340" s="387">
        <v>1.5634991060758496</v>
      </c>
      <c r="H340" s="153" t="s">
        <v>36</v>
      </c>
      <c r="I340" s="153"/>
      <c r="P340" s="388"/>
      <c r="Q340" s="388"/>
      <c r="R340" s="388"/>
      <c r="S340" s="288">
        <f t="shared" ref="S340:T340" si="267">$F341*$F335/2</f>
        <v>0</v>
      </c>
      <c r="T340" s="288">
        <f t="shared" si="267"/>
        <v>0</v>
      </c>
    </row>
    <row r="341" ht="12.75" customHeight="1">
      <c r="C341" s="386">
        <v>2028.0</v>
      </c>
      <c r="F341" s="387">
        <v>1.5634991060758496</v>
      </c>
      <c r="H341" s="153" t="s">
        <v>36</v>
      </c>
      <c r="I341" s="153"/>
      <c r="P341" s="388"/>
      <c r="Q341" s="388"/>
      <c r="R341" s="388"/>
      <c r="S341" s="388"/>
      <c r="T341" s="288">
        <f>$F342*$F335/2</f>
        <v>0</v>
      </c>
    </row>
    <row r="342" ht="12.75" customHeight="1">
      <c r="C342" s="392">
        <v>2029.0</v>
      </c>
      <c r="F342" s="393">
        <v>1.6143894571051323</v>
      </c>
      <c r="H342" s="391" t="s">
        <v>36</v>
      </c>
      <c r="I342" s="391"/>
    </row>
    <row r="343" ht="12.75" customHeight="1"/>
    <row r="344" ht="12.75" customHeight="1"/>
    <row r="345" ht="12.75" customHeight="1">
      <c r="C345" s="196" t="s">
        <v>364</v>
      </c>
    </row>
    <row r="346" ht="12.75" customHeight="1">
      <c r="C346" s="360" t="s">
        <v>347</v>
      </c>
      <c r="D346" s="361"/>
      <c r="E346" s="361"/>
      <c r="F346" s="361"/>
      <c r="G346" s="361"/>
      <c r="H346" s="361" t="s">
        <v>36</v>
      </c>
      <c r="I346" s="361"/>
      <c r="J346" s="360" t="str">
        <f>+$E$41</f>
        <v/>
      </c>
      <c r="K346" s="362">
        <f>+$J$49</f>
        <v>53.661</v>
      </c>
      <c r="L346" s="362">
        <f>+$K$49</f>
        <v>63.734</v>
      </c>
      <c r="M346" s="362">
        <f>+$L$49</f>
        <v>79.696</v>
      </c>
      <c r="N346" s="362">
        <f>+$M$49</f>
        <v>104.404</v>
      </c>
      <c r="O346" s="362">
        <f>+$N$49</f>
        <v>86.629</v>
      </c>
      <c r="P346" s="363">
        <f t="shared" ref="P346:T346" si="268">+O349</f>
        <v>101.303</v>
      </c>
      <c r="Q346" s="363">
        <f t="shared" si="268"/>
        <v>164.7166772</v>
      </c>
      <c r="R346" s="363">
        <f t="shared" si="268"/>
        <v>237.9864175</v>
      </c>
      <c r="S346" s="363">
        <f t="shared" si="268"/>
        <v>319.3154144</v>
      </c>
      <c r="T346" s="363">
        <f t="shared" si="268"/>
        <v>400.6444113</v>
      </c>
    </row>
    <row r="347" ht="12.75" customHeight="1">
      <c r="C347" s="17" t="s">
        <v>299</v>
      </c>
      <c r="E347" s="364"/>
      <c r="F347" s="364"/>
      <c r="G347" s="364"/>
      <c r="H347" s="364" t="s">
        <v>36</v>
      </c>
      <c r="I347" s="364"/>
      <c r="J347" s="365">
        <f>+$J$61</f>
        <v>38.721</v>
      </c>
      <c r="K347" s="365">
        <f>+$K$61</f>
        <v>30.152</v>
      </c>
      <c r="L347" s="365">
        <f>+$L$61</f>
        <v>56.82</v>
      </c>
      <c r="M347" s="365">
        <f>+$M$61</f>
        <v>75.028</v>
      </c>
      <c r="N347" s="365">
        <f>+$N$61</f>
        <v>49.619</v>
      </c>
      <c r="O347" s="365">
        <f>+$O$61</f>
        <v>56.4</v>
      </c>
      <c r="P347" s="257">
        <f>$P$61</f>
        <v>63.41367717</v>
      </c>
      <c r="Q347" s="257">
        <f>$Q$61</f>
        <v>73.26974033</v>
      </c>
      <c r="R347" s="257">
        <f>$R$61</f>
        <v>81.32899689</v>
      </c>
      <c r="S347" s="257">
        <f>$S$61</f>
        <v>81.32899689</v>
      </c>
      <c r="T347" s="257">
        <f>$T$61</f>
        <v>83.97617538</v>
      </c>
    </row>
    <row r="348" ht="12.75" customHeight="1">
      <c r="C348" s="17" t="s">
        <v>348</v>
      </c>
      <c r="E348" s="364"/>
      <c r="F348" s="364"/>
      <c r="G348" s="364"/>
      <c r="H348" s="364" t="s">
        <v>36</v>
      </c>
      <c r="I348" s="364"/>
      <c r="J348" s="365">
        <f t="shared" ref="J348:O348" si="269">+J349-(J346+J347)</f>
        <v>14.94</v>
      </c>
      <c r="K348" s="365">
        <f t="shared" si="269"/>
        <v>-20.079</v>
      </c>
      <c r="L348" s="365">
        <f t="shared" si="269"/>
        <v>-40.858</v>
      </c>
      <c r="M348" s="365">
        <f t="shared" si="269"/>
        <v>-50.32</v>
      </c>
      <c r="N348" s="365">
        <f t="shared" si="269"/>
        <v>-67.394</v>
      </c>
      <c r="O348" s="365">
        <f t="shared" si="269"/>
        <v>-41.726</v>
      </c>
      <c r="P348" s="366">
        <v>0.0</v>
      </c>
      <c r="Q348" s="366">
        <v>0.0</v>
      </c>
      <c r="R348" s="366">
        <v>0.0</v>
      </c>
      <c r="S348" s="366">
        <v>0.0</v>
      </c>
      <c r="T348" s="366">
        <v>0.0</v>
      </c>
    </row>
    <row r="349" ht="12.75" customHeight="1">
      <c r="C349" s="367" t="s">
        <v>349</v>
      </c>
      <c r="D349" s="368"/>
      <c r="E349" s="368"/>
      <c r="F349" s="368"/>
      <c r="G349" s="368"/>
      <c r="H349" s="368" t="s">
        <v>36</v>
      </c>
      <c r="I349" s="368"/>
      <c r="J349" s="369">
        <f>+$J$49</f>
        <v>53.661</v>
      </c>
      <c r="K349" s="369">
        <f>+$K$49</f>
        <v>63.734</v>
      </c>
      <c r="L349" s="369">
        <f>+$L$49</f>
        <v>79.696</v>
      </c>
      <c r="M349" s="369">
        <f>+$M$49</f>
        <v>104.404</v>
      </c>
      <c r="N349" s="369">
        <f>+$N$49</f>
        <v>86.629</v>
      </c>
      <c r="O349" s="369">
        <f>+$O$49</f>
        <v>101.303</v>
      </c>
      <c r="P349" s="370">
        <f t="shared" ref="P349:T349" si="270">SUM(P346:P348)</f>
        <v>164.7166772</v>
      </c>
      <c r="Q349" s="370">
        <f t="shared" si="270"/>
        <v>237.9864175</v>
      </c>
      <c r="R349" s="370">
        <f t="shared" si="270"/>
        <v>319.3154144</v>
      </c>
      <c r="S349" s="370">
        <f t="shared" si="270"/>
        <v>400.6444113</v>
      </c>
      <c r="T349" s="370">
        <f t="shared" si="270"/>
        <v>484.6205867</v>
      </c>
    </row>
    <row r="350" ht="12.75" customHeight="1">
      <c r="C350" s="367" t="s">
        <v>350</v>
      </c>
      <c r="D350" s="368"/>
      <c r="E350" s="368"/>
      <c r="F350" s="368"/>
      <c r="G350" s="368"/>
      <c r="H350" s="368" t="s">
        <v>36</v>
      </c>
      <c r="I350" s="368"/>
      <c r="J350" s="371">
        <f t="shared" ref="J350:O350" si="271">-I76</f>
        <v>0</v>
      </c>
      <c r="K350" s="369">
        <f t="shared" si="271"/>
        <v>0</v>
      </c>
      <c r="L350" s="369">
        <f t="shared" si="271"/>
        <v>0</v>
      </c>
      <c r="M350" s="369">
        <f t="shared" si="271"/>
        <v>0</v>
      </c>
      <c r="N350" s="369">
        <f t="shared" si="271"/>
        <v>0</v>
      </c>
      <c r="O350" s="369">
        <f t="shared" si="271"/>
        <v>0</v>
      </c>
      <c r="P350" s="257">
        <f t="shared" ref="P350:T350" si="272">+O353</f>
        <v>0</v>
      </c>
      <c r="Q350" s="257">
        <f t="shared" si="272"/>
        <v>0</v>
      </c>
      <c r="R350" s="257">
        <f t="shared" si="272"/>
        <v>0</v>
      </c>
      <c r="S350" s="257">
        <f t="shared" si="272"/>
        <v>0</v>
      </c>
      <c r="T350" s="257">
        <f t="shared" si="272"/>
        <v>0</v>
      </c>
    </row>
    <row r="351" ht="12.75" customHeight="1">
      <c r="C351" s="17" t="s">
        <v>342</v>
      </c>
      <c r="E351" s="364"/>
      <c r="F351" s="364"/>
      <c r="G351" s="364"/>
      <c r="H351" s="364" t="s">
        <v>36</v>
      </c>
      <c r="I351" s="364"/>
      <c r="J351" s="372">
        <f t="shared" ref="J351:O351" si="273">-J88</f>
        <v>0</v>
      </c>
      <c r="K351" s="372">
        <f t="shared" si="273"/>
        <v>0</v>
      </c>
      <c r="L351" s="372">
        <f t="shared" si="273"/>
        <v>0</v>
      </c>
      <c r="M351" s="372">
        <f t="shared" si="273"/>
        <v>0</v>
      </c>
      <c r="N351" s="372">
        <f t="shared" si="273"/>
        <v>0</v>
      </c>
      <c r="O351" s="372">
        <f t="shared" si="273"/>
        <v>0</v>
      </c>
      <c r="P351" s="257">
        <f t="shared" ref="P351:T351" si="274">SUM(P362,P364)</f>
        <v>0</v>
      </c>
      <c r="Q351" s="257">
        <f t="shared" si="274"/>
        <v>0</v>
      </c>
      <c r="R351" s="257">
        <f t="shared" si="274"/>
        <v>0</v>
      </c>
      <c r="S351" s="257">
        <f t="shared" si="274"/>
        <v>0</v>
      </c>
      <c r="T351" s="257">
        <f t="shared" si="274"/>
        <v>0</v>
      </c>
    </row>
    <row r="352" ht="12.75" customHeight="1">
      <c r="C352" s="17" t="s">
        <v>348</v>
      </c>
      <c r="E352" s="364"/>
      <c r="F352" s="364"/>
      <c r="G352" s="364"/>
      <c r="H352" s="364" t="s">
        <v>36</v>
      </c>
      <c r="I352" s="364"/>
      <c r="J352" s="372">
        <f t="shared" ref="J352:O352" si="275">+J353-(J350+J351)</f>
        <v>0</v>
      </c>
      <c r="K352" s="372">
        <f t="shared" si="275"/>
        <v>0</v>
      </c>
      <c r="L352" s="372">
        <f t="shared" si="275"/>
        <v>0</v>
      </c>
      <c r="M352" s="372">
        <f t="shared" si="275"/>
        <v>0</v>
      </c>
      <c r="N352" s="372">
        <f t="shared" si="275"/>
        <v>0</v>
      </c>
      <c r="O352" s="372">
        <f t="shared" si="275"/>
        <v>0</v>
      </c>
      <c r="P352" s="366">
        <v>0.0</v>
      </c>
      <c r="Q352" s="366">
        <v>0.0</v>
      </c>
      <c r="R352" s="366">
        <v>0.0</v>
      </c>
      <c r="S352" s="366">
        <v>0.0</v>
      </c>
      <c r="T352" s="366">
        <v>0.0</v>
      </c>
    </row>
    <row r="353" ht="12.75" customHeight="1">
      <c r="C353" s="367" t="s">
        <v>351</v>
      </c>
      <c r="D353" s="368"/>
      <c r="E353" s="368"/>
      <c r="F353" s="368"/>
      <c r="G353" s="368"/>
      <c r="H353" s="368" t="s">
        <v>36</v>
      </c>
      <c r="I353" s="368"/>
      <c r="J353" s="373">
        <f t="shared" ref="J353:O353" si="276">-J76</f>
        <v>0</v>
      </c>
      <c r="K353" s="373">
        <f t="shared" si="276"/>
        <v>0</v>
      </c>
      <c r="L353" s="373">
        <f t="shared" si="276"/>
        <v>0</v>
      </c>
      <c r="M353" s="373">
        <f t="shared" si="276"/>
        <v>0</v>
      </c>
      <c r="N353" s="373">
        <f t="shared" si="276"/>
        <v>0</v>
      </c>
      <c r="O353" s="373">
        <f t="shared" si="276"/>
        <v>0</v>
      </c>
      <c r="P353" s="374">
        <f t="shared" ref="P353:T353" si="277">SUM(P350:P352)</f>
        <v>0</v>
      </c>
      <c r="Q353" s="374">
        <f t="shared" si="277"/>
        <v>0</v>
      </c>
      <c r="R353" s="374">
        <f t="shared" si="277"/>
        <v>0</v>
      </c>
      <c r="S353" s="374">
        <f t="shared" si="277"/>
        <v>0</v>
      </c>
      <c r="T353" s="374">
        <f t="shared" si="277"/>
        <v>0</v>
      </c>
    </row>
    <row r="354" ht="12.75" customHeight="1">
      <c r="C354" s="367" t="s">
        <v>304</v>
      </c>
      <c r="D354" s="368"/>
      <c r="E354" s="368"/>
      <c r="F354" s="368"/>
      <c r="G354" s="368"/>
      <c r="H354" s="368" t="s">
        <v>36</v>
      </c>
      <c r="I354" s="368"/>
      <c r="J354" s="373">
        <f>+J100</f>
        <v>0</v>
      </c>
      <c r="K354" s="373">
        <f>K100</f>
        <v>-1.665</v>
      </c>
      <c r="L354" s="373">
        <f>+L100</f>
        <v>-6.74</v>
      </c>
      <c r="M354" s="373">
        <f>M100</f>
        <v>-12.563</v>
      </c>
      <c r="N354" s="373">
        <f>+N100</f>
        <v>0</v>
      </c>
      <c r="O354" s="373">
        <f t="shared" ref="O354:T354" si="278">O100</f>
        <v>0</v>
      </c>
      <c r="P354" s="374">
        <f t="shared" si="278"/>
        <v>0</v>
      </c>
      <c r="Q354" s="374">
        <f t="shared" si="278"/>
        <v>0</v>
      </c>
      <c r="R354" s="374">
        <f t="shared" si="278"/>
        <v>0</v>
      </c>
      <c r="S354" s="374">
        <f t="shared" si="278"/>
        <v>0</v>
      </c>
      <c r="T354" s="374">
        <f t="shared" si="278"/>
        <v>0</v>
      </c>
    </row>
    <row r="355" ht="12.75" customHeight="1">
      <c r="C355" s="375" t="s">
        <v>352</v>
      </c>
      <c r="D355" s="376"/>
      <c r="E355" s="376"/>
      <c r="F355" s="376"/>
      <c r="G355" s="376"/>
      <c r="H355" s="376" t="s">
        <v>36</v>
      </c>
      <c r="I355" s="376"/>
      <c r="J355" s="377">
        <f t="shared" ref="J355:P355" si="279">+J349+J353+J354</f>
        <v>53.661</v>
      </c>
      <c r="K355" s="377">
        <f t="shared" si="279"/>
        <v>62.069</v>
      </c>
      <c r="L355" s="377">
        <f t="shared" si="279"/>
        <v>72.956</v>
      </c>
      <c r="M355" s="377">
        <f t="shared" si="279"/>
        <v>91.841</v>
      </c>
      <c r="N355" s="377">
        <f t="shared" si="279"/>
        <v>86.629</v>
      </c>
      <c r="O355" s="377">
        <f t="shared" si="279"/>
        <v>101.303</v>
      </c>
      <c r="P355" s="377">
        <f t="shared" si="279"/>
        <v>164.7166772</v>
      </c>
      <c r="Q355" s="378">
        <f t="shared" ref="Q355:T355" si="280">Q349+Q353+Q354</f>
        <v>237.9864175</v>
      </c>
      <c r="R355" s="378">
        <f t="shared" si="280"/>
        <v>319.3154144</v>
      </c>
      <c r="S355" s="378">
        <f t="shared" si="280"/>
        <v>400.6444113</v>
      </c>
      <c r="T355" s="377">
        <f t="shared" si="280"/>
        <v>484.6205867</v>
      </c>
    </row>
    <row r="356" ht="12.75" customHeight="1"/>
    <row r="357" ht="12.75" customHeight="1"/>
    <row r="358" ht="12.75" customHeight="1">
      <c r="C358" s="379" t="s">
        <v>353</v>
      </c>
      <c r="D358" s="290"/>
      <c r="E358" s="290"/>
      <c r="F358" s="290"/>
      <c r="G358" s="290"/>
      <c r="H358" s="177" t="s">
        <v>32</v>
      </c>
      <c r="I358" s="177"/>
      <c r="J358" s="380"/>
      <c r="K358" s="380">
        <f t="shared" ref="K358:O358" si="281">+K351/AVERAGE(K349,K346)</f>
        <v>0</v>
      </c>
      <c r="L358" s="380">
        <f t="shared" si="281"/>
        <v>0</v>
      </c>
      <c r="M358" s="380">
        <f t="shared" si="281"/>
        <v>0</v>
      </c>
      <c r="N358" s="380">
        <f t="shared" si="281"/>
        <v>0</v>
      </c>
      <c r="O358" s="380">
        <f t="shared" si="281"/>
        <v>0</v>
      </c>
    </row>
    <row r="359" ht="12.75" customHeight="1">
      <c r="H359" s="153"/>
      <c r="I359" s="153"/>
    </row>
    <row r="360" ht="12.75" customHeight="1">
      <c r="C360" s="154" t="s">
        <v>354</v>
      </c>
      <c r="H360" s="153"/>
      <c r="I360" s="153"/>
    </row>
    <row r="361" ht="12.75" customHeight="1">
      <c r="H361" s="153"/>
      <c r="I361" s="153"/>
    </row>
    <row r="362" ht="12.75" customHeight="1">
      <c r="C362" s="171" t="s">
        <v>355</v>
      </c>
      <c r="F362" s="382">
        <f>+O358</f>
        <v>0</v>
      </c>
      <c r="H362" s="153" t="s">
        <v>36</v>
      </c>
      <c r="I362" s="153"/>
      <c r="J362" s="383">
        <v>0.0</v>
      </c>
      <c r="K362" s="383">
        <v>0.0</v>
      </c>
      <c r="L362" s="383">
        <v>0.0</v>
      </c>
      <c r="M362" s="383">
        <v>0.0</v>
      </c>
      <c r="N362" s="383">
        <v>0.0</v>
      </c>
      <c r="O362" s="383">
        <v>0.0</v>
      </c>
      <c r="P362" s="247">
        <f t="shared" ref="P362:T362" si="282">-IF($O348+$O353+$O348*$F362&lt;0,0,MIN($O348+$O353+SUM($O362:O362),$O348*$F$46))</f>
        <v>0</v>
      </c>
      <c r="Q362" s="247">
        <f t="shared" si="282"/>
        <v>0</v>
      </c>
      <c r="R362" s="247">
        <f t="shared" si="282"/>
        <v>0</v>
      </c>
      <c r="S362" s="247">
        <f t="shared" si="282"/>
        <v>0</v>
      </c>
      <c r="T362" s="247">
        <f t="shared" si="282"/>
        <v>0</v>
      </c>
    </row>
    <row r="363" ht="12.75" customHeight="1">
      <c r="H363" s="153"/>
      <c r="I363" s="153"/>
    </row>
    <row r="364" ht="12.75" customHeight="1">
      <c r="C364" s="154" t="s">
        <v>356</v>
      </c>
      <c r="F364" s="382">
        <f>+F362</f>
        <v>0</v>
      </c>
      <c r="H364" s="153" t="s">
        <v>36</v>
      </c>
      <c r="I364" s="153"/>
      <c r="O364" s="78" t="s">
        <v>17</v>
      </c>
      <c r="P364" s="288">
        <f t="shared" ref="P364:T364" si="283">SUM(P366:P370)</f>
        <v>0</v>
      </c>
      <c r="Q364" s="288">
        <f t="shared" si="283"/>
        <v>0</v>
      </c>
      <c r="R364" s="288">
        <f t="shared" si="283"/>
        <v>0</v>
      </c>
      <c r="S364" s="288">
        <f t="shared" si="283"/>
        <v>0</v>
      </c>
      <c r="T364" s="288">
        <f t="shared" si="283"/>
        <v>0</v>
      </c>
    </row>
    <row r="365" ht="12.75" customHeight="1">
      <c r="F365" s="391"/>
      <c r="H365" s="153"/>
      <c r="I365" s="153"/>
    </row>
    <row r="366" ht="12.75" customHeight="1">
      <c r="C366" s="384" t="s">
        <v>171</v>
      </c>
      <c r="F366" s="385" t="s">
        <v>299</v>
      </c>
      <c r="H366" s="153"/>
      <c r="I366" s="153"/>
      <c r="P366" s="288">
        <f>$F364*$F367/2</f>
        <v>0</v>
      </c>
      <c r="Q366" s="288">
        <f t="shared" ref="Q366:T366" si="284">$F367*$F364</f>
        <v>0</v>
      </c>
      <c r="R366" s="288">
        <f t="shared" si="284"/>
        <v>0</v>
      </c>
      <c r="S366" s="288">
        <f t="shared" si="284"/>
        <v>0</v>
      </c>
      <c r="T366" s="288">
        <f t="shared" si="284"/>
        <v>0</v>
      </c>
    </row>
    <row r="367" ht="12.75" customHeight="1">
      <c r="C367" s="386">
        <v>2025.0</v>
      </c>
      <c r="F367" s="387">
        <f t="array" ref="F367:F371">TRANSPOSE(P347:T347)</f>
        <v>63.41367717</v>
      </c>
      <c r="H367" s="153" t="s">
        <v>36</v>
      </c>
      <c r="I367" s="153"/>
      <c r="P367" s="388"/>
      <c r="Q367" s="288">
        <f t="shared" ref="Q367:T367" si="285">$F368*$F364/2</f>
        <v>0</v>
      </c>
      <c r="R367" s="288">
        <f t="shared" si="285"/>
        <v>0</v>
      </c>
      <c r="S367" s="288">
        <f t="shared" si="285"/>
        <v>0</v>
      </c>
      <c r="T367" s="288">
        <f t="shared" si="285"/>
        <v>0</v>
      </c>
    </row>
    <row r="368" ht="12.75" customHeight="1">
      <c r="C368" s="386">
        <v>2026.0</v>
      </c>
      <c r="F368" s="387">
        <v>73.26974032833958</v>
      </c>
      <c r="H368" s="153" t="s">
        <v>36</v>
      </c>
      <c r="I368" s="153"/>
      <c r="P368" s="388"/>
      <c r="Q368" s="388"/>
      <c r="R368" s="288">
        <f t="shared" ref="R368:T368" si="286">$F369*$F364/2</f>
        <v>0</v>
      </c>
      <c r="S368" s="288">
        <f t="shared" si="286"/>
        <v>0</v>
      </c>
      <c r="T368" s="288">
        <f t="shared" si="286"/>
        <v>0</v>
      </c>
    </row>
    <row r="369" ht="12.75" customHeight="1">
      <c r="C369" s="386">
        <v>2027.0</v>
      </c>
      <c r="F369" s="387">
        <v>81.32899688706625</v>
      </c>
      <c r="H369" s="153" t="s">
        <v>36</v>
      </c>
      <c r="I369" s="153"/>
      <c r="P369" s="388"/>
      <c r="Q369" s="388"/>
      <c r="R369" s="388"/>
      <c r="S369" s="288">
        <f t="shared" ref="S369:T369" si="287">$F370*$F364/2</f>
        <v>0</v>
      </c>
      <c r="T369" s="288">
        <f t="shared" si="287"/>
        <v>0</v>
      </c>
    </row>
    <row r="370" ht="12.75" customHeight="1">
      <c r="C370" s="386">
        <v>2028.0</v>
      </c>
      <c r="F370" s="387">
        <v>81.32899688706625</v>
      </c>
      <c r="H370" s="153" t="s">
        <v>36</v>
      </c>
      <c r="I370" s="153"/>
      <c r="P370" s="388"/>
      <c r="Q370" s="388"/>
      <c r="R370" s="388"/>
      <c r="S370" s="388"/>
      <c r="T370" s="288">
        <f>$F371*$F364/2</f>
        <v>0</v>
      </c>
    </row>
    <row r="371" ht="12.75" customHeight="1">
      <c r="C371" s="392">
        <v>2029.0</v>
      </c>
      <c r="F371" s="393">
        <v>83.97617537559776</v>
      </c>
      <c r="H371" s="391" t="s">
        <v>36</v>
      </c>
      <c r="I371" s="391"/>
    </row>
    <row r="372" ht="12.75" customHeight="1"/>
    <row r="373" ht="12.75" customHeight="1">
      <c r="A373" s="394" t="s">
        <v>33</v>
      </c>
      <c r="B373" s="275" t="s">
        <v>365</v>
      </c>
      <c r="C373" s="275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</row>
    <row r="374" ht="12.75" customHeight="1">
      <c r="J374" s="78"/>
    </row>
    <row r="375" ht="12.75" customHeight="1">
      <c r="B375" s="154" t="s">
        <v>33</v>
      </c>
      <c r="C375" s="154" t="s">
        <v>314</v>
      </c>
      <c r="H375" s="153"/>
      <c r="I375" s="153"/>
    </row>
    <row r="376" ht="12.75" customHeight="1">
      <c r="C376" s="290" t="s">
        <v>347</v>
      </c>
      <c r="D376" s="290"/>
      <c r="E376" s="290"/>
      <c r="F376" s="290"/>
      <c r="G376" s="290"/>
      <c r="H376" s="177" t="s">
        <v>36</v>
      </c>
      <c r="I376" s="177"/>
      <c r="J376" s="290"/>
      <c r="K376" s="395">
        <f>41057/1000</f>
        <v>41.057</v>
      </c>
      <c r="L376" s="395">
        <f>39327/1000</f>
        <v>39.327</v>
      </c>
      <c r="M376" s="395">
        <f>44253/1000</f>
        <v>44.253</v>
      </c>
      <c r="N376" s="395">
        <f>20828/1000</f>
        <v>20.828</v>
      </c>
      <c r="O376" s="395">
        <f>24646/1000</f>
        <v>24.646</v>
      </c>
      <c r="P376" s="363">
        <f t="shared" ref="P376:T376" si="288">O379</f>
        <v>25.984</v>
      </c>
      <c r="Q376" s="363">
        <f t="shared" si="288"/>
        <v>36.47702841</v>
      </c>
      <c r="R376" s="363">
        <f t="shared" si="288"/>
        <v>48.60093451</v>
      </c>
      <c r="S376" s="363">
        <f t="shared" si="288"/>
        <v>62.05840162</v>
      </c>
      <c r="T376" s="363">
        <f t="shared" si="288"/>
        <v>75.51586874</v>
      </c>
    </row>
    <row r="377" ht="12.75" customHeight="1">
      <c r="C377" s="154" t="s">
        <v>299</v>
      </c>
      <c r="H377" s="391" t="s">
        <v>36</v>
      </c>
      <c r="I377" s="391"/>
      <c r="K377" s="195">
        <f>1642/1000</f>
        <v>1.642</v>
      </c>
      <c r="L377" s="195">
        <f>4325/1000</f>
        <v>4.325</v>
      </c>
      <c r="M377" s="195">
        <f>14886/1000</f>
        <v>14.886</v>
      </c>
      <c r="N377" s="195">
        <f>12248/1000</f>
        <v>12.248</v>
      </c>
      <c r="O377" s="195">
        <f>5329/1000</f>
        <v>5.329</v>
      </c>
      <c r="P377" s="257">
        <f>P387*'Supuestos '!L14</f>
        <v>10.49302841</v>
      </c>
      <c r="Q377" s="257">
        <f>Q387*'Supuestos '!M14</f>
        <v>12.12390609</v>
      </c>
      <c r="R377" s="257">
        <f>R387*'Supuestos '!N14</f>
        <v>13.45746711</v>
      </c>
      <c r="S377" s="257">
        <f>S387*'Supuestos '!O14</f>
        <v>13.45746711</v>
      </c>
      <c r="T377" s="257">
        <f>T387*'Supuestos '!P14</f>
        <v>13.89549437</v>
      </c>
    </row>
    <row r="378" ht="12.75" customHeight="1">
      <c r="C378" s="154" t="s">
        <v>348</v>
      </c>
      <c r="H378" s="391" t="s">
        <v>36</v>
      </c>
      <c r="I378" s="391"/>
      <c r="K378" s="195">
        <f t="shared" ref="K378:O378" si="289">K379-(K376+K377)</f>
        <v>-3.372</v>
      </c>
      <c r="L378" s="195">
        <f t="shared" si="289"/>
        <v>0.601</v>
      </c>
      <c r="M378" s="195">
        <f t="shared" si="289"/>
        <v>-38.311</v>
      </c>
      <c r="N378" s="195">
        <f t="shared" si="289"/>
        <v>-8.43</v>
      </c>
      <c r="O378" s="195">
        <f t="shared" si="289"/>
        <v>-3.991</v>
      </c>
      <c r="P378" s="366">
        <v>0.0</v>
      </c>
      <c r="Q378" s="366">
        <v>0.0</v>
      </c>
      <c r="R378" s="366">
        <v>0.0</v>
      </c>
      <c r="S378" s="366">
        <v>0.0</v>
      </c>
      <c r="T378" s="366">
        <v>0.0</v>
      </c>
    </row>
    <row r="379" ht="12.75" customHeight="1">
      <c r="C379" s="290" t="s">
        <v>349</v>
      </c>
      <c r="D379" s="290"/>
      <c r="E379" s="290"/>
      <c r="F379" s="290"/>
      <c r="G379" s="290"/>
      <c r="H379" s="177" t="s">
        <v>36</v>
      </c>
      <c r="I379" s="177"/>
      <c r="J379" s="290"/>
      <c r="K379" s="395">
        <f>39327/1000</f>
        <v>39.327</v>
      </c>
      <c r="L379" s="395">
        <f>44253/1000</f>
        <v>44.253</v>
      </c>
      <c r="M379" s="395">
        <f>20828/1000</f>
        <v>20.828</v>
      </c>
      <c r="N379" s="395">
        <f>24646/1000</f>
        <v>24.646</v>
      </c>
      <c r="O379" s="395">
        <f>25984/1000</f>
        <v>25.984</v>
      </c>
      <c r="P379" s="370">
        <f t="shared" ref="P379:T379" si="290">P376+P377+P378</f>
        <v>36.47702841</v>
      </c>
      <c r="Q379" s="370">
        <f t="shared" si="290"/>
        <v>48.60093451</v>
      </c>
      <c r="R379" s="370">
        <f t="shared" si="290"/>
        <v>62.05840162</v>
      </c>
      <c r="S379" s="370">
        <f t="shared" si="290"/>
        <v>75.51586874</v>
      </c>
      <c r="T379" s="370">
        <f t="shared" si="290"/>
        <v>89.41136311</v>
      </c>
    </row>
    <row r="380" ht="12.75" customHeight="1">
      <c r="C380" s="154" t="s">
        <v>350</v>
      </c>
      <c r="H380" s="391" t="s">
        <v>36</v>
      </c>
      <c r="I380" s="391"/>
      <c r="K380" s="195">
        <f>-18594/1000</f>
        <v>-18.594</v>
      </c>
      <c r="L380" s="195">
        <f>-35042/1000</f>
        <v>-35.042</v>
      </c>
      <c r="M380" s="195">
        <f>-39868/1000</f>
        <v>-39.868</v>
      </c>
      <c r="N380" s="195">
        <f>-9443/1000</f>
        <v>-9.443</v>
      </c>
      <c r="O380" s="195">
        <f>-6721/1000</f>
        <v>-6.721</v>
      </c>
      <c r="P380" s="257">
        <f t="shared" ref="P380:T380" si="291">O383</f>
        <v>-10.322</v>
      </c>
      <c r="Q380" s="257">
        <f t="shared" si="291"/>
        <v>-19.50548599</v>
      </c>
      <c r="R380" s="257">
        <f t="shared" si="291"/>
        <v>-32.01428227</v>
      </c>
      <c r="S380" s="257">
        <f t="shared" si="291"/>
        <v>-41.02407453</v>
      </c>
      <c r="T380" s="257">
        <f t="shared" si="291"/>
        <v>-53.61054652</v>
      </c>
    </row>
    <row r="381" ht="12.75" customHeight="1">
      <c r="C381" s="154" t="s">
        <v>342</v>
      </c>
      <c r="H381" s="391" t="s">
        <v>36</v>
      </c>
      <c r="I381" s="391"/>
      <c r="K381" s="195">
        <f>-16218/1000</f>
        <v>-16.218</v>
      </c>
      <c r="L381" s="195">
        <f>-4826/1000</f>
        <v>-4.826</v>
      </c>
      <c r="M381" s="195">
        <f>-7086/1000</f>
        <v>-7.086</v>
      </c>
      <c r="N381" s="195">
        <f>-5438/1000</f>
        <v>-5.438</v>
      </c>
      <c r="O381" s="195">
        <f>-7444/1000</f>
        <v>-7.444</v>
      </c>
      <c r="P381" s="257">
        <f t="shared" ref="P381:T381" si="292">SUM(P393,P395)</f>
        <v>-9.183485987</v>
      </c>
      <c r="Q381" s="257">
        <f t="shared" si="292"/>
        <v>-12.50879629</v>
      </c>
      <c r="R381" s="257">
        <f t="shared" si="292"/>
        <v>-9.009792261</v>
      </c>
      <c r="S381" s="257">
        <f t="shared" si="292"/>
        <v>-12.58647198</v>
      </c>
      <c r="T381" s="257">
        <f t="shared" si="292"/>
        <v>-16.60810827</v>
      </c>
    </row>
    <row r="382" ht="12.75" customHeight="1">
      <c r="C382" s="154" t="s">
        <v>348</v>
      </c>
      <c r="H382" s="391" t="s">
        <v>36</v>
      </c>
      <c r="I382" s="391"/>
      <c r="K382" s="195">
        <f t="shared" ref="K382:O382" si="293">K383-(K380+K381)</f>
        <v>-0.23</v>
      </c>
      <c r="L382" s="195">
        <f t="shared" si="293"/>
        <v>0</v>
      </c>
      <c r="M382" s="195">
        <f t="shared" si="293"/>
        <v>37.511</v>
      </c>
      <c r="N382" s="195">
        <f t="shared" si="293"/>
        <v>8.16</v>
      </c>
      <c r="O382" s="195">
        <f t="shared" si="293"/>
        <v>3.843</v>
      </c>
      <c r="P382" s="366">
        <v>0.0</v>
      </c>
      <c r="Q382" s="366">
        <v>0.0</v>
      </c>
      <c r="R382" s="366">
        <v>0.0</v>
      </c>
      <c r="S382" s="366">
        <v>0.0</v>
      </c>
      <c r="T382" s="366">
        <v>0.0</v>
      </c>
    </row>
    <row r="383" ht="12.75" customHeight="1">
      <c r="C383" s="290" t="s">
        <v>351</v>
      </c>
      <c r="D383" s="290"/>
      <c r="E383" s="290"/>
      <c r="F383" s="290"/>
      <c r="G383" s="290"/>
      <c r="H383" s="177" t="s">
        <v>36</v>
      </c>
      <c r="I383" s="177"/>
      <c r="J383" s="290"/>
      <c r="K383" s="395">
        <f>-35042/1000</f>
        <v>-35.042</v>
      </c>
      <c r="L383" s="395">
        <f>-39868/1000</f>
        <v>-39.868</v>
      </c>
      <c r="M383" s="395">
        <f>-9443/1000</f>
        <v>-9.443</v>
      </c>
      <c r="N383" s="395">
        <f>-6721/1000</f>
        <v>-6.721</v>
      </c>
      <c r="O383" s="395">
        <f>-10322/1000</f>
        <v>-10.322</v>
      </c>
      <c r="P383" s="374">
        <f t="shared" ref="P383:T383" si="294">SUM(P380:P382)</f>
        <v>-19.50548599</v>
      </c>
      <c r="Q383" s="374">
        <f t="shared" si="294"/>
        <v>-32.01428227</v>
      </c>
      <c r="R383" s="374">
        <f t="shared" si="294"/>
        <v>-41.02407453</v>
      </c>
      <c r="S383" s="374">
        <f t="shared" si="294"/>
        <v>-53.61054652</v>
      </c>
      <c r="T383" s="374">
        <f t="shared" si="294"/>
        <v>-70.21865479</v>
      </c>
    </row>
    <row r="384" ht="12.75" customHeight="1">
      <c r="C384" s="154" t="s">
        <v>304</v>
      </c>
      <c r="H384" s="391" t="s">
        <v>36</v>
      </c>
      <c r="I384" s="391"/>
      <c r="K384" s="195">
        <v>0.0</v>
      </c>
      <c r="L384" s="195">
        <v>0.0</v>
      </c>
      <c r="M384" s="195">
        <v>0.0</v>
      </c>
      <c r="N384" s="195">
        <v>0.0</v>
      </c>
      <c r="O384" s="195">
        <v>0.0</v>
      </c>
      <c r="P384" s="374">
        <v>0.0</v>
      </c>
      <c r="Q384" s="374">
        <v>0.0</v>
      </c>
      <c r="R384" s="374">
        <v>0.0</v>
      </c>
      <c r="S384" s="374">
        <v>0.0</v>
      </c>
      <c r="T384" s="374">
        <v>0.0</v>
      </c>
    </row>
    <row r="385" ht="12.0" customHeight="1">
      <c r="C385" s="396" t="s">
        <v>352</v>
      </c>
      <c r="D385" s="396"/>
      <c r="E385" s="396"/>
      <c r="F385" s="396"/>
      <c r="G385" s="396"/>
      <c r="H385" s="397" t="s">
        <v>36</v>
      </c>
      <c r="I385" s="397"/>
      <c r="J385" s="396"/>
      <c r="K385" s="398">
        <f t="shared" ref="K385:T385" si="295">K379+K383+K384</f>
        <v>4.285</v>
      </c>
      <c r="L385" s="398">
        <f t="shared" si="295"/>
        <v>4.385</v>
      </c>
      <c r="M385" s="398">
        <f t="shared" si="295"/>
        <v>11.385</v>
      </c>
      <c r="N385" s="398">
        <f t="shared" si="295"/>
        <v>17.925</v>
      </c>
      <c r="O385" s="398">
        <f t="shared" si="295"/>
        <v>15.662</v>
      </c>
      <c r="P385" s="399">
        <f t="shared" si="295"/>
        <v>16.97154243</v>
      </c>
      <c r="Q385" s="399">
        <f t="shared" si="295"/>
        <v>16.58665223</v>
      </c>
      <c r="R385" s="399">
        <f t="shared" si="295"/>
        <v>21.03432709</v>
      </c>
      <c r="S385" s="399">
        <f t="shared" si="295"/>
        <v>21.90532222</v>
      </c>
      <c r="T385" s="399">
        <f t="shared" si="295"/>
        <v>19.19270832</v>
      </c>
    </row>
    <row r="386" ht="12.0" customHeight="1"/>
    <row r="387" ht="12.75" customHeight="1">
      <c r="C387" s="400" t="s">
        <v>366</v>
      </c>
      <c r="D387" s="401"/>
      <c r="E387" s="401"/>
      <c r="F387" s="401"/>
      <c r="G387" s="401"/>
      <c r="H387" s="401"/>
      <c r="I387" s="401"/>
      <c r="J387" s="401"/>
      <c r="K387" s="402">
        <f>K377/'Supuestos '!G14</f>
        <v>0.003066470701</v>
      </c>
      <c r="L387" s="402">
        <f>L377/'Supuestos '!H14</f>
        <v>0.004613830397</v>
      </c>
      <c r="M387" s="402">
        <f>M377/'Supuestos '!I14</f>
        <v>0.01564861984</v>
      </c>
      <c r="N387" s="402">
        <f>N377/'Supuestos '!J14</f>
        <v>0.01386954385</v>
      </c>
      <c r="O387" s="402">
        <f>O377/'Supuestos '!K14</f>
        <v>0.005548030704</v>
      </c>
      <c r="P387" s="403">
        <f>AVERAGE(L387:N387)</f>
        <v>0.01137733136</v>
      </c>
      <c r="Q387" s="402">
        <f t="shared" ref="Q387:T387" si="296">P387</f>
        <v>0.01137733136</v>
      </c>
      <c r="R387" s="402">
        <f t="shared" si="296"/>
        <v>0.01137733136</v>
      </c>
      <c r="S387" s="402">
        <f t="shared" si="296"/>
        <v>0.01137733136</v>
      </c>
      <c r="T387" s="402">
        <f t="shared" si="296"/>
        <v>0.01137733136</v>
      </c>
    </row>
    <row r="388" ht="12.0" customHeight="1"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</row>
    <row r="389" ht="12.75" customHeight="1">
      <c r="C389" s="400" t="s">
        <v>367</v>
      </c>
      <c r="D389" s="401"/>
      <c r="E389" s="401"/>
      <c r="F389" s="290"/>
      <c r="G389" s="401"/>
      <c r="H389" s="404" t="s">
        <v>32</v>
      </c>
      <c r="I389" s="404"/>
      <c r="J389" s="405"/>
      <c r="K389" s="403">
        <f t="shared" ref="K389:O389" si="297">-IFERROR(K381/AVERAGE(K379,K376),"")</f>
        <v>0.4035131369</v>
      </c>
      <c r="L389" s="403">
        <f t="shared" si="297"/>
        <v>0.1154821728</v>
      </c>
      <c r="M389" s="403">
        <f t="shared" si="297"/>
        <v>0.2177594075</v>
      </c>
      <c r="N389" s="403">
        <f t="shared" si="297"/>
        <v>0.2391696354</v>
      </c>
      <c r="O389" s="406">
        <f t="shared" si="297"/>
        <v>0.2940549082</v>
      </c>
      <c r="P389" s="78"/>
      <c r="Q389" s="78"/>
      <c r="R389" s="78"/>
      <c r="S389" s="78"/>
    </row>
    <row r="390" ht="12.75" customHeight="1"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</row>
    <row r="391" ht="12.75" customHeight="1">
      <c r="C391" s="407" t="s">
        <v>354</v>
      </c>
      <c r="D391" s="408"/>
      <c r="E391" s="408"/>
      <c r="F391" s="408"/>
      <c r="G391" s="408"/>
      <c r="H391" s="408"/>
      <c r="I391" s="408"/>
      <c r="J391" s="408"/>
      <c r="K391" s="408"/>
      <c r="L391" s="408"/>
      <c r="M391" s="408"/>
      <c r="N391" s="408"/>
      <c r="O391" s="408"/>
      <c r="P391" s="408"/>
      <c r="Q391" s="408"/>
      <c r="R391" s="408"/>
      <c r="S391" s="408"/>
    </row>
    <row r="392" ht="12.75" customHeight="1"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</row>
    <row r="393" ht="12.75" customHeight="1">
      <c r="C393" s="409" t="s">
        <v>355</v>
      </c>
      <c r="D393" s="78"/>
      <c r="E393" s="410">
        <f>O389</f>
        <v>0.2940549082</v>
      </c>
      <c r="G393" s="78"/>
      <c r="H393" s="411" t="s">
        <v>36</v>
      </c>
      <c r="I393" s="411"/>
      <c r="J393" s="412"/>
      <c r="K393" s="412"/>
      <c r="L393" s="412"/>
      <c r="M393" s="412"/>
      <c r="N393" s="412"/>
      <c r="P393" s="413">
        <f t="shared" ref="P393:T393" si="298">-IF($O379+$O383+$O379*$E393&lt;0,0,MIN($O379+$O383+SUM($O393:O393),$O379*$E393))</f>
        <v>-7.640722734</v>
      </c>
      <c r="Q393" s="413">
        <f t="shared" si="298"/>
        <v>-7.640722734</v>
      </c>
      <c r="R393" s="413">
        <f t="shared" si="298"/>
        <v>-0.3805545329</v>
      </c>
      <c r="S393" s="413">
        <f t="shared" si="298"/>
        <v>0</v>
      </c>
      <c r="T393" s="413">
        <f t="shared" si="298"/>
        <v>0</v>
      </c>
    </row>
    <row r="394" ht="12.75" customHeight="1">
      <c r="C394" s="78"/>
      <c r="D394" s="78"/>
      <c r="E394" s="78"/>
      <c r="G394" s="78"/>
      <c r="H394" s="78"/>
      <c r="I394" s="78"/>
      <c r="J394" s="78"/>
      <c r="K394" s="78"/>
      <c r="L394" s="78"/>
      <c r="M394" s="78"/>
      <c r="N394" s="78"/>
      <c r="P394" s="414"/>
      <c r="Q394" s="414"/>
      <c r="R394" s="414"/>
      <c r="S394" s="414"/>
      <c r="T394" s="414"/>
    </row>
    <row r="395" ht="12.75" customHeight="1">
      <c r="C395" s="409" t="s">
        <v>356</v>
      </c>
      <c r="D395" s="78"/>
      <c r="E395" s="410">
        <f>E393</f>
        <v>0.2940549082</v>
      </c>
      <c r="G395" s="78"/>
      <c r="H395" s="411" t="s">
        <v>36</v>
      </c>
      <c r="I395" s="411"/>
      <c r="J395" s="78"/>
      <c r="K395" s="78"/>
      <c r="L395" s="78"/>
      <c r="M395" s="78"/>
      <c r="N395" s="78"/>
      <c r="P395" s="415">
        <f t="shared" ref="P395:T395" si="299">SUM(P398:P402)</f>
        <v>-1.542763253</v>
      </c>
      <c r="Q395" s="415">
        <f t="shared" si="299"/>
        <v>-4.868073553</v>
      </c>
      <c r="R395" s="415">
        <f t="shared" si="299"/>
        <v>-8.629237728</v>
      </c>
      <c r="S395" s="415">
        <f t="shared" si="299"/>
        <v>-12.58647198</v>
      </c>
      <c r="T395" s="415">
        <f t="shared" si="299"/>
        <v>-16.60810827</v>
      </c>
    </row>
    <row r="396" ht="12.75" customHeight="1">
      <c r="C396" s="78"/>
      <c r="D396" s="78"/>
      <c r="E396" s="78"/>
      <c r="G396" s="78"/>
      <c r="H396" s="78"/>
      <c r="I396" s="78"/>
      <c r="J396" s="78"/>
      <c r="K396" s="78"/>
      <c r="L396" s="78"/>
      <c r="M396" s="78"/>
      <c r="N396" s="78"/>
      <c r="P396" s="78"/>
      <c r="Q396" s="78"/>
      <c r="R396" s="78"/>
      <c r="S396" s="78"/>
      <c r="T396" s="78"/>
    </row>
    <row r="397" ht="12.75" customHeight="1">
      <c r="C397" s="416" t="s">
        <v>171</v>
      </c>
      <c r="D397" s="78"/>
      <c r="E397" s="416" t="s">
        <v>299</v>
      </c>
      <c r="G397" s="78"/>
      <c r="H397" s="78"/>
      <c r="I397" s="78"/>
      <c r="J397" s="78"/>
      <c r="K397" s="78"/>
      <c r="L397" s="78"/>
      <c r="M397" s="78"/>
      <c r="N397" s="78"/>
      <c r="P397" s="78"/>
      <c r="Q397" s="78"/>
      <c r="R397" s="78"/>
      <c r="S397" s="78"/>
      <c r="T397" s="78"/>
    </row>
    <row r="398" ht="12.75" customHeight="1">
      <c r="C398" s="417">
        <f t="array" ref="C398:C402">TRANSPOSE(P2:T2)</f>
        <v>2025</v>
      </c>
      <c r="D398" s="78"/>
      <c r="E398" s="418">
        <f t="array" ref="E398:E402">TRANSPOSE(P377:T377)</f>
        <v>10.49302841</v>
      </c>
      <c r="G398" s="78"/>
      <c r="H398" s="411" t="s">
        <v>36</v>
      </c>
      <c r="I398" s="411"/>
      <c r="J398" s="78"/>
      <c r="K398" s="78"/>
      <c r="L398" s="78"/>
      <c r="M398" s="78"/>
      <c r="N398" s="78"/>
      <c r="P398" s="419">
        <f>-$E395*$E398/2</f>
        <v>-1.542763253</v>
      </c>
      <c r="Q398" s="420">
        <f t="shared" ref="Q398:T398" si="300">-$E395*$E398</f>
        <v>-3.085526507</v>
      </c>
      <c r="R398" s="420">
        <f t="shared" si="300"/>
        <v>-3.085526507</v>
      </c>
      <c r="S398" s="420">
        <f t="shared" si="300"/>
        <v>-3.085526507</v>
      </c>
      <c r="T398" s="421">
        <f t="shared" si="300"/>
        <v>-3.085526507</v>
      </c>
    </row>
    <row r="399" ht="12.75" customHeight="1">
      <c r="C399" s="417">
        <v>2026.0</v>
      </c>
      <c r="D399" s="78"/>
      <c r="E399" s="418">
        <v>12.123906093887365</v>
      </c>
      <c r="G399" s="78"/>
      <c r="H399" s="411" t="s">
        <v>36</v>
      </c>
      <c r="I399" s="411"/>
      <c r="J399" s="78"/>
      <c r="K399" s="78"/>
      <c r="L399" s="78"/>
      <c r="M399" s="78"/>
      <c r="N399" s="78"/>
      <c r="P399" s="422"/>
      <c r="Q399" s="415">
        <f>-$E395*$E399/2</f>
        <v>-1.782547046</v>
      </c>
      <c r="R399" s="415">
        <f t="shared" ref="R399:T399" si="301">-$E395*$E399</f>
        <v>-3.565094093</v>
      </c>
      <c r="S399" s="415">
        <f t="shared" si="301"/>
        <v>-3.565094093</v>
      </c>
      <c r="T399" s="423">
        <f t="shared" si="301"/>
        <v>-3.565094093</v>
      </c>
    </row>
    <row r="400" ht="12.75" customHeight="1">
      <c r="C400" s="417">
        <v>2027.0</v>
      </c>
      <c r="D400" s="78"/>
      <c r="E400" s="418">
        <v>13.45746711466739</v>
      </c>
      <c r="G400" s="78"/>
      <c r="H400" s="411" t="s">
        <v>36</v>
      </c>
      <c r="I400" s="411"/>
      <c r="J400" s="78"/>
      <c r="K400" s="78"/>
      <c r="L400" s="78"/>
      <c r="M400" s="78"/>
      <c r="N400" s="78"/>
      <c r="P400" s="422"/>
      <c r="Q400" s="424"/>
      <c r="R400" s="415">
        <f>-$E395*$E400/2</f>
        <v>-1.978617128</v>
      </c>
      <c r="S400" s="415">
        <f t="shared" ref="S400:T400" si="302">-$E395*$E400</f>
        <v>-3.957234256</v>
      </c>
      <c r="T400" s="423">
        <f t="shared" si="302"/>
        <v>-3.957234256</v>
      </c>
    </row>
    <row r="401" ht="12.75" customHeight="1">
      <c r="C401" s="417">
        <v>2028.0</v>
      </c>
      <c r="D401" s="78"/>
      <c r="E401" s="418">
        <v>13.45746711466739</v>
      </c>
      <c r="G401" s="78"/>
      <c r="H401" s="411" t="s">
        <v>36</v>
      </c>
      <c r="I401" s="411"/>
      <c r="J401" s="78"/>
      <c r="K401" s="78"/>
      <c r="L401" s="78"/>
      <c r="M401" s="78"/>
      <c r="N401" s="78"/>
      <c r="P401" s="422"/>
      <c r="Q401" s="424"/>
      <c r="R401" s="424"/>
      <c r="S401" s="415">
        <f>-$E395*$E401/2</f>
        <v>-1.978617128</v>
      </c>
      <c r="T401" s="423">
        <f>-$E395*$E401</f>
        <v>-3.957234256</v>
      </c>
    </row>
    <row r="402" ht="12.75" customHeight="1">
      <c r="C402" s="425">
        <v>2029.0</v>
      </c>
      <c r="D402" s="78"/>
      <c r="E402" s="426">
        <v>13.895494372098533</v>
      </c>
      <c r="G402" s="78"/>
      <c r="H402" s="411" t="s">
        <v>36</v>
      </c>
      <c r="I402" s="411"/>
      <c r="J402" s="78"/>
      <c r="K402" s="78"/>
      <c r="L402" s="78"/>
      <c r="M402" s="78"/>
      <c r="N402" s="78"/>
      <c r="P402" s="427"/>
      <c r="Q402" s="428"/>
      <c r="R402" s="428"/>
      <c r="S402" s="428"/>
      <c r="T402" s="429">
        <f>-$E395*$E402/2</f>
        <v>-2.043019161</v>
      </c>
    </row>
    <row r="403" ht="12.75" customHeight="1"/>
    <row r="404" ht="12.75" customHeight="1">
      <c r="A404" s="78" t="s">
        <v>33</v>
      </c>
      <c r="B404" s="275" t="s">
        <v>368</v>
      </c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</row>
    <row r="405" ht="12.75" customHeight="1"/>
    <row r="406" ht="12.75" customHeight="1">
      <c r="B406" s="154" t="s">
        <v>33</v>
      </c>
      <c r="C406" s="154" t="s">
        <v>315</v>
      </c>
    </row>
    <row r="407" ht="12.75" customHeight="1">
      <c r="C407" s="290" t="s">
        <v>369</v>
      </c>
      <c r="D407" s="290"/>
      <c r="E407" s="290"/>
      <c r="F407" s="290"/>
      <c r="G407" s="290"/>
      <c r="H407" s="177" t="s">
        <v>36</v>
      </c>
      <c r="I407" s="177"/>
      <c r="J407" s="395">
        <f>1506024/1000</f>
        <v>1506.024</v>
      </c>
      <c r="K407" s="395">
        <f>1376450/1000</f>
        <v>1376.45</v>
      </c>
      <c r="L407" s="395">
        <f>1572165/1000</f>
        <v>1572.165</v>
      </c>
      <c r="M407" s="395">
        <f>1676340/1000</f>
        <v>1676.34</v>
      </c>
      <c r="N407" s="395">
        <f>1672381/1000</f>
        <v>1672.381</v>
      </c>
      <c r="O407" s="395">
        <f>1751595/1000</f>
        <v>1751.595</v>
      </c>
      <c r="P407" s="363">
        <f t="shared" ref="P407:T407" si="303">O410</f>
        <v>1831.858</v>
      </c>
      <c r="Q407" s="363">
        <f t="shared" si="303"/>
        <v>1921.019956</v>
      </c>
      <c r="R407" s="363">
        <f t="shared" si="303"/>
        <v>2024.039897</v>
      </c>
      <c r="S407" s="363">
        <f t="shared" si="303"/>
        <v>2138.39145</v>
      </c>
      <c r="T407" s="363">
        <f t="shared" si="303"/>
        <v>2252.743002</v>
      </c>
    </row>
    <row r="408" ht="12.75" customHeight="1">
      <c r="C408" s="154" t="s">
        <v>299</v>
      </c>
      <c r="H408" s="153" t="s">
        <v>36</v>
      </c>
      <c r="I408" s="153"/>
      <c r="J408" s="195">
        <f>110115/1000</f>
        <v>110.115</v>
      </c>
      <c r="K408" s="195">
        <f>50685/1000</f>
        <v>50.685</v>
      </c>
      <c r="L408" s="195">
        <f>83762/1000</f>
        <v>83.762</v>
      </c>
      <c r="M408" s="195">
        <f>109336/1000</f>
        <v>109.336</v>
      </c>
      <c r="N408" s="195">
        <f>89385/1000</f>
        <v>89.385</v>
      </c>
      <c r="O408" s="195">
        <f>77987/1000</f>
        <v>77.987</v>
      </c>
      <c r="P408" s="257">
        <f>P418*'Supuestos '!L14</f>
        <v>89.16195562</v>
      </c>
      <c r="Q408" s="257">
        <f>Q418*'Supuestos '!M14</f>
        <v>103.0199419</v>
      </c>
      <c r="R408" s="257">
        <f>R418*'Supuestos '!N14</f>
        <v>114.3515521</v>
      </c>
      <c r="S408" s="257">
        <f>S418*'Supuestos '!O14</f>
        <v>114.3515521</v>
      </c>
      <c r="T408" s="257">
        <f>T418*'Supuestos '!P14</f>
        <v>118.0735822</v>
      </c>
    </row>
    <row r="409" ht="12.75" customHeight="1">
      <c r="C409" s="154" t="s">
        <v>348</v>
      </c>
      <c r="H409" s="153" t="s">
        <v>36</v>
      </c>
      <c r="I409" s="153"/>
      <c r="J409" s="195">
        <f t="shared" ref="J409:O409" si="304">J410-(J407+J408)</f>
        <v>-239.689</v>
      </c>
      <c r="K409" s="195">
        <f t="shared" si="304"/>
        <v>145.03</v>
      </c>
      <c r="L409" s="195">
        <f t="shared" si="304"/>
        <v>20.413</v>
      </c>
      <c r="M409" s="195">
        <f t="shared" si="304"/>
        <v>-113.295</v>
      </c>
      <c r="N409" s="195">
        <f t="shared" si="304"/>
        <v>-10.171</v>
      </c>
      <c r="O409" s="195">
        <f t="shared" si="304"/>
        <v>2.276</v>
      </c>
      <c r="P409" s="366">
        <v>0.0</v>
      </c>
      <c r="Q409" s="366">
        <v>0.0</v>
      </c>
      <c r="R409" s="366">
        <v>0.0</v>
      </c>
      <c r="S409" s="366">
        <v>0.0</v>
      </c>
      <c r="T409" s="366">
        <v>0.0</v>
      </c>
    </row>
    <row r="410" ht="12.75" customHeight="1">
      <c r="C410" s="290" t="s">
        <v>370</v>
      </c>
      <c r="D410" s="290"/>
      <c r="E410" s="290"/>
      <c r="F410" s="290"/>
      <c r="G410" s="290"/>
      <c r="H410" s="177" t="s">
        <v>36</v>
      </c>
      <c r="I410" s="177"/>
      <c r="J410" s="395">
        <f>1376450/1000</f>
        <v>1376.45</v>
      </c>
      <c r="K410" s="395">
        <f>1572165/1000</f>
        <v>1572.165</v>
      </c>
      <c r="L410" s="395">
        <f>1676340/1000</f>
        <v>1676.34</v>
      </c>
      <c r="M410" s="395">
        <f>1672381/1000</f>
        <v>1672.381</v>
      </c>
      <c r="N410" s="395">
        <f>1751595/1000</f>
        <v>1751.595</v>
      </c>
      <c r="O410" s="395">
        <f>1831858/1000</f>
        <v>1831.858</v>
      </c>
      <c r="P410" s="370">
        <f t="shared" ref="P410:T410" si="305">P407+P408+P409</f>
        <v>1921.019956</v>
      </c>
      <c r="Q410" s="370">
        <f t="shared" si="305"/>
        <v>2024.039897</v>
      </c>
      <c r="R410" s="370">
        <f t="shared" si="305"/>
        <v>2138.39145</v>
      </c>
      <c r="S410" s="370">
        <f t="shared" si="305"/>
        <v>2252.743002</v>
      </c>
      <c r="T410" s="370">
        <f t="shared" si="305"/>
        <v>2370.816584</v>
      </c>
    </row>
    <row r="411" ht="12.75" customHeight="1">
      <c r="C411" s="154" t="s">
        <v>371</v>
      </c>
      <c r="H411" s="153" t="s">
        <v>36</v>
      </c>
      <c r="I411" s="153"/>
      <c r="J411" s="195">
        <f>-665957/1000</f>
        <v>-665.957</v>
      </c>
      <c r="K411" s="195">
        <f>-596328/1000</f>
        <v>-596.328</v>
      </c>
      <c r="L411" s="195">
        <f>-781612/1000</f>
        <v>-781.612</v>
      </c>
      <c r="M411" s="195">
        <f>-874357/1000</f>
        <v>-874.357</v>
      </c>
      <c r="N411" s="195">
        <f>-972443/1000</f>
        <v>-972.443</v>
      </c>
      <c r="O411" s="195">
        <f>-1100945/1000</f>
        <v>-1100.945</v>
      </c>
      <c r="P411" s="257">
        <f t="shared" ref="P411:T411" si="306">O414</f>
        <v>-1175.63</v>
      </c>
      <c r="Q411" s="257">
        <f t="shared" si="306"/>
        <v>-1254.893372</v>
      </c>
      <c r="R411" s="257">
        <f t="shared" si="306"/>
        <v>-1338.215758</v>
      </c>
      <c r="S411" s="257">
        <f t="shared" si="306"/>
        <v>-1426.12918</v>
      </c>
      <c r="T411" s="257">
        <f t="shared" si="306"/>
        <v>-1518.87297</v>
      </c>
    </row>
    <row r="412" ht="12.75" customHeight="1">
      <c r="C412" s="154" t="s">
        <v>372</v>
      </c>
      <c r="H412" s="153" t="s">
        <v>36</v>
      </c>
      <c r="I412" s="153"/>
      <c r="J412" s="195">
        <f>-69060/1000</f>
        <v>-69.06</v>
      </c>
      <c r="K412" s="195">
        <f>-46351/1000</f>
        <v>-46.351</v>
      </c>
      <c r="L412" s="195">
        <f>-92745/1000</f>
        <v>-92.745</v>
      </c>
      <c r="M412" s="195">
        <f>-106255/1000</f>
        <v>-106.255</v>
      </c>
      <c r="N412" s="195">
        <f>-92455/1000</f>
        <v>-92.455</v>
      </c>
      <c r="O412" s="195">
        <f>-75685/1000</f>
        <v>-75.685</v>
      </c>
      <c r="P412" s="257">
        <f t="shared" ref="P412:T412" si="307">SUM(P424,P426)</f>
        <v>-79.26337197</v>
      </c>
      <c r="Q412" s="257">
        <f t="shared" si="307"/>
        <v>-83.32238625</v>
      </c>
      <c r="R412" s="257">
        <f t="shared" si="307"/>
        <v>-87.91342219</v>
      </c>
      <c r="S412" s="257">
        <f t="shared" si="307"/>
        <v>-92.74378957</v>
      </c>
      <c r="T412" s="257">
        <f t="shared" si="307"/>
        <v>-97.65276878</v>
      </c>
    </row>
    <row r="413" ht="12.75" customHeight="1">
      <c r="C413" s="154" t="s">
        <v>348</v>
      </c>
      <c r="H413" s="153" t="s">
        <v>36</v>
      </c>
      <c r="I413" s="153"/>
      <c r="J413" s="195">
        <f t="shared" ref="J413:O413" si="308">J414-(J411+J412)</f>
        <v>138.689</v>
      </c>
      <c r="K413" s="195">
        <f t="shared" si="308"/>
        <v>-138.933</v>
      </c>
      <c r="L413" s="195">
        <f t="shared" si="308"/>
        <v>0</v>
      </c>
      <c r="M413" s="195">
        <f t="shared" si="308"/>
        <v>8.169</v>
      </c>
      <c r="N413" s="195">
        <f t="shared" si="308"/>
        <v>-36.047</v>
      </c>
      <c r="O413" s="195">
        <f t="shared" si="308"/>
        <v>1</v>
      </c>
      <c r="P413" s="366">
        <v>0.0</v>
      </c>
      <c r="Q413" s="366">
        <v>0.0</v>
      </c>
      <c r="R413" s="366">
        <v>0.0</v>
      </c>
      <c r="S413" s="366">
        <v>0.0</v>
      </c>
      <c r="T413" s="366">
        <v>0.0</v>
      </c>
    </row>
    <row r="414" ht="12.75" customHeight="1">
      <c r="C414" s="290" t="s">
        <v>373</v>
      </c>
      <c r="D414" s="290"/>
      <c r="E414" s="290"/>
      <c r="F414" s="290"/>
      <c r="G414" s="290"/>
      <c r="H414" s="177" t="s">
        <v>36</v>
      </c>
      <c r="I414" s="177"/>
      <c r="J414" s="395">
        <f>-596328/1000</f>
        <v>-596.328</v>
      </c>
      <c r="K414" s="395">
        <f>-781612/1000</f>
        <v>-781.612</v>
      </c>
      <c r="L414" s="395">
        <f>-874357/1000</f>
        <v>-874.357</v>
      </c>
      <c r="M414" s="395">
        <f>-972443/1000</f>
        <v>-972.443</v>
      </c>
      <c r="N414" s="395">
        <f>-1100945/1000</f>
        <v>-1100.945</v>
      </c>
      <c r="O414" s="395">
        <f>-1175630/1000</f>
        <v>-1175.63</v>
      </c>
      <c r="P414" s="374">
        <f t="shared" ref="P414:T414" si="309">SUM(P411:P413)</f>
        <v>-1254.893372</v>
      </c>
      <c r="Q414" s="374">
        <f t="shared" si="309"/>
        <v>-1338.215758</v>
      </c>
      <c r="R414" s="374">
        <f t="shared" si="309"/>
        <v>-1426.12918</v>
      </c>
      <c r="S414" s="374">
        <f t="shared" si="309"/>
        <v>-1518.87297</v>
      </c>
      <c r="T414" s="374">
        <f t="shared" si="309"/>
        <v>-1616.525739</v>
      </c>
    </row>
    <row r="415" ht="12.75" customHeight="1">
      <c r="C415" s="154" t="s">
        <v>304</v>
      </c>
      <c r="H415" s="153" t="s">
        <v>36</v>
      </c>
      <c r="I415" s="153"/>
      <c r="J415" s="195">
        <v>0.0</v>
      </c>
      <c r="K415" s="195">
        <v>0.0</v>
      </c>
      <c r="L415" s="195">
        <v>0.0</v>
      </c>
      <c r="M415" s="195">
        <v>0.0</v>
      </c>
      <c r="N415" s="195">
        <v>0.0</v>
      </c>
      <c r="O415" s="195">
        <v>0.0</v>
      </c>
      <c r="P415" s="374">
        <v>0.0</v>
      </c>
      <c r="Q415" s="374">
        <v>0.0</v>
      </c>
      <c r="R415" s="374">
        <v>0.0</v>
      </c>
      <c r="S415" s="374">
        <v>0.0</v>
      </c>
      <c r="T415" s="374">
        <v>0.0</v>
      </c>
    </row>
    <row r="416" ht="12.75" customHeight="1">
      <c r="C416" s="396" t="s">
        <v>352</v>
      </c>
      <c r="D416" s="430"/>
      <c r="E416" s="430"/>
      <c r="F416" s="430"/>
      <c r="G416" s="430"/>
      <c r="H416" s="431" t="s">
        <v>36</v>
      </c>
      <c r="I416" s="431"/>
      <c r="J416" s="432">
        <f t="shared" ref="J416:T416" si="310">J410+J414+J415</f>
        <v>780.122</v>
      </c>
      <c r="K416" s="432">
        <f t="shared" si="310"/>
        <v>790.553</v>
      </c>
      <c r="L416" s="432">
        <f t="shared" si="310"/>
        <v>801.983</v>
      </c>
      <c r="M416" s="432">
        <f t="shared" si="310"/>
        <v>699.938</v>
      </c>
      <c r="N416" s="432">
        <f t="shared" si="310"/>
        <v>650.65</v>
      </c>
      <c r="O416" s="432">
        <f t="shared" si="310"/>
        <v>656.228</v>
      </c>
      <c r="P416" s="432">
        <f t="shared" si="310"/>
        <v>666.1265837</v>
      </c>
      <c r="Q416" s="432">
        <f t="shared" si="310"/>
        <v>685.8241393</v>
      </c>
      <c r="R416" s="432">
        <f t="shared" si="310"/>
        <v>712.2622692</v>
      </c>
      <c r="S416" s="432">
        <f t="shared" si="310"/>
        <v>733.8700318</v>
      </c>
      <c r="T416" s="432">
        <f t="shared" si="310"/>
        <v>754.2908451</v>
      </c>
    </row>
    <row r="417" ht="12.75" customHeight="1"/>
    <row r="418" ht="12.75" customHeight="1">
      <c r="B418" s="78"/>
      <c r="C418" s="400" t="s">
        <v>366</v>
      </c>
      <c r="D418" s="401"/>
      <c r="E418" s="401"/>
      <c r="F418" s="401"/>
      <c r="G418" s="401"/>
      <c r="H418" s="401"/>
      <c r="I418" s="401"/>
      <c r="J418" s="433">
        <f>J408/'Supuestos '!F14</f>
        <v>0.1480880284</v>
      </c>
      <c r="K418" s="433">
        <f>K408/'Supuestos '!G14</f>
        <v>0.09465533952</v>
      </c>
      <c r="L418" s="433">
        <f>L408/'Supuestos '!H14</f>
        <v>0.08935575993</v>
      </c>
      <c r="M418" s="433">
        <f>M408/'Supuestos '!I14</f>
        <v>0.1149373572</v>
      </c>
      <c r="N418" s="433">
        <f>N408/'Supuestos '!J14</f>
        <v>0.1012189073</v>
      </c>
      <c r="O418" s="433">
        <f>O408/'Supuestos '!K14</f>
        <v>0.08119239454</v>
      </c>
      <c r="P418" s="403">
        <f>AVERAGE(L418:O418)</f>
        <v>0.09667610474</v>
      </c>
      <c r="Q418" s="402">
        <f t="shared" ref="Q418:T418" si="311">P418</f>
        <v>0.09667610474</v>
      </c>
      <c r="R418" s="402">
        <f t="shared" si="311"/>
        <v>0.09667610474</v>
      </c>
      <c r="S418" s="402">
        <f t="shared" si="311"/>
        <v>0.09667610474</v>
      </c>
      <c r="T418" s="402">
        <f t="shared" si="311"/>
        <v>0.09667610474</v>
      </c>
    </row>
    <row r="419" ht="12.75" customHeight="1"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</row>
    <row r="420" ht="12.75" customHeight="1">
      <c r="B420" s="78"/>
      <c r="C420" s="400" t="s">
        <v>367</v>
      </c>
      <c r="D420" s="401"/>
      <c r="E420" s="401"/>
      <c r="F420" s="290"/>
      <c r="G420" s="401"/>
      <c r="H420" s="404" t="s">
        <v>32</v>
      </c>
      <c r="I420" s="404"/>
      <c r="J420" s="405"/>
      <c r="K420" s="403">
        <f t="shared" ref="K420:O420" si="312">-IFERROR(K412/AVERAGE(K410,K407),"")</f>
        <v>0.0314391672</v>
      </c>
      <c r="L420" s="403">
        <f t="shared" si="312"/>
        <v>0.05710011221</v>
      </c>
      <c r="M420" s="403">
        <f t="shared" si="312"/>
        <v>0.06346004937</v>
      </c>
      <c r="N420" s="403">
        <f t="shared" si="312"/>
        <v>0.05400446732</v>
      </c>
      <c r="O420" s="406">
        <f t="shared" si="312"/>
        <v>0.04224138003</v>
      </c>
      <c r="P420" s="78"/>
      <c r="Q420" s="78"/>
      <c r="R420" s="78"/>
      <c r="S420" s="78"/>
    </row>
    <row r="421" ht="12.75" customHeight="1"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</row>
    <row r="422" ht="12.75" customHeight="1">
      <c r="B422" s="78"/>
      <c r="C422" s="407" t="s">
        <v>354</v>
      </c>
      <c r="D422" s="408"/>
      <c r="E422" s="408"/>
      <c r="F422" s="408"/>
      <c r="G422" s="408"/>
      <c r="H422" s="408"/>
      <c r="I422" s="408"/>
      <c r="J422" s="408"/>
      <c r="K422" s="408"/>
      <c r="L422" s="408"/>
      <c r="M422" s="408"/>
      <c r="N422" s="408"/>
      <c r="O422" s="408"/>
      <c r="P422" s="408"/>
      <c r="Q422" s="408"/>
      <c r="R422" s="408"/>
      <c r="S422" s="408"/>
    </row>
    <row r="423" ht="12.75" customHeight="1"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</row>
    <row r="424" ht="12.75" customHeight="1">
      <c r="B424" s="78"/>
      <c r="C424" s="409" t="s">
        <v>355</v>
      </c>
      <c r="D424" s="78"/>
      <c r="E424" s="410">
        <f>O420</f>
        <v>0.04224138003</v>
      </c>
      <c r="F424" s="411"/>
      <c r="G424" s="78"/>
      <c r="H424" s="411" t="s">
        <v>36</v>
      </c>
      <c r="I424" s="411"/>
      <c r="J424" s="412"/>
      <c r="K424" s="412"/>
      <c r="L424" s="412"/>
      <c r="M424" s="412"/>
      <c r="N424" s="412"/>
      <c r="O424" s="434"/>
      <c r="P424" s="413">
        <f t="shared" ref="P424:T424" si="313">-IF($O410+$O414+$O410*$E424&lt;0,0,MIN($O410+$O414+SUM($O424:O424),$O410*$E424))</f>
        <v>-77.38020994</v>
      </c>
      <c r="Q424" s="413">
        <f t="shared" si="313"/>
        <v>-77.38020994</v>
      </c>
      <c r="R424" s="413">
        <f t="shared" si="313"/>
        <v>-77.38020994</v>
      </c>
      <c r="S424" s="413">
        <f t="shared" si="313"/>
        <v>-77.38020994</v>
      </c>
      <c r="T424" s="413">
        <f t="shared" si="313"/>
        <v>-77.38020994</v>
      </c>
    </row>
    <row r="425" ht="12.75" customHeight="1"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P425" s="414"/>
      <c r="Q425" s="414"/>
      <c r="R425" s="414"/>
      <c r="S425" s="414"/>
      <c r="T425" s="414"/>
    </row>
    <row r="426" ht="12.75" customHeight="1">
      <c r="B426" s="78"/>
      <c r="C426" s="409" t="s">
        <v>356</v>
      </c>
      <c r="D426" s="78"/>
      <c r="E426" s="410">
        <f>E424</f>
        <v>0.04224138003</v>
      </c>
      <c r="F426" s="411"/>
      <c r="G426" s="78"/>
      <c r="H426" s="411" t="s">
        <v>36</v>
      </c>
      <c r="I426" s="411"/>
      <c r="J426" s="78"/>
      <c r="K426" s="78"/>
      <c r="L426" s="78"/>
      <c r="M426" s="78"/>
      <c r="N426" s="78"/>
      <c r="P426" s="415">
        <f t="shared" ref="P426:T426" si="314">SUM(P429:P433)</f>
        <v>-1.883162026</v>
      </c>
      <c r="Q426" s="415">
        <f t="shared" si="314"/>
        <v>-5.942176309</v>
      </c>
      <c r="R426" s="415">
        <f t="shared" si="314"/>
        <v>-10.53321225</v>
      </c>
      <c r="S426" s="415">
        <f t="shared" si="314"/>
        <v>-15.36357962</v>
      </c>
      <c r="T426" s="415">
        <f t="shared" si="314"/>
        <v>-20.27255884</v>
      </c>
    </row>
    <row r="427" ht="12.75" customHeight="1"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P427" s="78"/>
      <c r="Q427" s="78"/>
      <c r="R427" s="78"/>
      <c r="S427" s="78"/>
      <c r="T427" s="78"/>
    </row>
    <row r="428" ht="12.75" customHeight="1">
      <c r="B428" s="78"/>
      <c r="C428" s="416" t="s">
        <v>171</v>
      </c>
      <c r="D428" s="78"/>
      <c r="E428" s="416" t="s">
        <v>299</v>
      </c>
      <c r="F428" s="78"/>
      <c r="G428" s="78"/>
      <c r="H428" s="78"/>
      <c r="I428" s="78"/>
      <c r="J428" s="78"/>
      <c r="K428" s="78"/>
      <c r="L428" s="78"/>
      <c r="M428" s="78"/>
      <c r="N428" s="78"/>
      <c r="P428" s="78"/>
      <c r="Q428" s="78"/>
      <c r="R428" s="78"/>
      <c r="S428" s="78"/>
      <c r="T428" s="78"/>
    </row>
    <row r="429" ht="12.75" customHeight="1">
      <c r="B429" s="78"/>
      <c r="C429" s="417">
        <f t="array" ref="C429:C433">TRANSPOSE(P2:T2)</f>
        <v>2025</v>
      </c>
      <c r="D429" s="78"/>
      <c r="E429" s="418">
        <f t="array" ref="E429:E433">TRANSPOSE(P408:T408)</f>
        <v>89.16195562</v>
      </c>
      <c r="F429" s="411"/>
      <c r="G429" s="78"/>
      <c r="H429" s="411" t="s">
        <v>36</v>
      </c>
      <c r="I429" s="411"/>
      <c r="J429" s="78"/>
      <c r="K429" s="78"/>
      <c r="L429" s="78"/>
      <c r="M429" s="78"/>
      <c r="N429" s="78"/>
      <c r="P429" s="419">
        <f>-$E426*$E429/2</f>
        <v>-1.883162026</v>
      </c>
      <c r="Q429" s="420">
        <f t="shared" ref="Q429:T429" si="315">-$E426*$E429</f>
        <v>-3.766324052</v>
      </c>
      <c r="R429" s="420">
        <f t="shared" si="315"/>
        <v>-3.766324052</v>
      </c>
      <c r="S429" s="420">
        <f t="shared" si="315"/>
        <v>-3.766324052</v>
      </c>
      <c r="T429" s="421">
        <f t="shared" si="315"/>
        <v>-3.766324052</v>
      </c>
    </row>
    <row r="430" ht="12.75" customHeight="1">
      <c r="B430" s="78"/>
      <c r="C430" s="417">
        <v>2026.0</v>
      </c>
      <c r="D430" s="78"/>
      <c r="E430" s="418">
        <v>103.01994185938341</v>
      </c>
      <c r="F430" s="411"/>
      <c r="G430" s="78"/>
      <c r="H430" s="411" t="s">
        <v>36</v>
      </c>
      <c r="I430" s="411"/>
      <c r="J430" s="78"/>
      <c r="K430" s="78"/>
      <c r="L430" s="78"/>
      <c r="M430" s="78"/>
      <c r="N430" s="78"/>
      <c r="P430" s="422"/>
      <c r="Q430" s="415">
        <f>-$E426*$E430/2</f>
        <v>-2.175852257</v>
      </c>
      <c r="R430" s="415">
        <f t="shared" ref="R430:T430" si="316">-$E426*$E430</f>
        <v>-4.351704515</v>
      </c>
      <c r="S430" s="415">
        <f t="shared" si="316"/>
        <v>-4.351704515</v>
      </c>
      <c r="T430" s="423">
        <f t="shared" si="316"/>
        <v>-4.351704515</v>
      </c>
    </row>
    <row r="431" ht="12.75" customHeight="1">
      <c r="B431" s="78"/>
      <c r="C431" s="417">
        <v>2027.0</v>
      </c>
      <c r="D431" s="78"/>
      <c r="E431" s="418">
        <v>114.35155213108985</v>
      </c>
      <c r="F431" s="411"/>
      <c r="G431" s="78"/>
      <c r="H431" s="411" t="s">
        <v>36</v>
      </c>
      <c r="I431" s="411"/>
      <c r="J431" s="78"/>
      <c r="K431" s="78"/>
      <c r="L431" s="78"/>
      <c r="M431" s="78"/>
      <c r="N431" s="78"/>
      <c r="P431" s="422"/>
      <c r="Q431" s="424"/>
      <c r="R431" s="415">
        <f>-$E426*$E431/2</f>
        <v>-2.415183685</v>
      </c>
      <c r="S431" s="415">
        <f t="shared" ref="S431:T431" si="317">-$E426*$E431</f>
        <v>-4.830367371</v>
      </c>
      <c r="T431" s="423">
        <f t="shared" si="317"/>
        <v>-4.830367371</v>
      </c>
    </row>
    <row r="432" ht="12.75" customHeight="1">
      <c r="B432" s="78"/>
      <c r="C432" s="417">
        <v>2028.0</v>
      </c>
      <c r="D432" s="78"/>
      <c r="E432" s="418">
        <v>114.35155213108985</v>
      </c>
      <c r="F432" s="411"/>
      <c r="G432" s="78"/>
      <c r="H432" s="411" t="s">
        <v>36</v>
      </c>
      <c r="I432" s="411"/>
      <c r="J432" s="78"/>
      <c r="K432" s="78"/>
      <c r="L432" s="78"/>
      <c r="M432" s="78"/>
      <c r="N432" s="78"/>
      <c r="P432" s="422"/>
      <c r="Q432" s="424"/>
      <c r="R432" s="424"/>
      <c r="S432" s="415">
        <f>-$E426*$E432/2</f>
        <v>-2.415183685</v>
      </c>
      <c r="T432" s="423">
        <f>-$E426*$E432</f>
        <v>-4.830367371</v>
      </c>
    </row>
    <row r="433" ht="12.75" customHeight="1">
      <c r="B433" s="78"/>
      <c r="C433" s="425">
        <v>2029.0</v>
      </c>
      <c r="D433" s="78"/>
      <c r="E433" s="426">
        <v>118.07358216364948</v>
      </c>
      <c r="F433" s="411"/>
      <c r="G433" s="78"/>
      <c r="H433" s="411" t="s">
        <v>36</v>
      </c>
      <c r="I433" s="411"/>
      <c r="J433" s="78"/>
      <c r="K433" s="78"/>
      <c r="L433" s="78"/>
      <c r="M433" s="78"/>
      <c r="N433" s="78"/>
      <c r="P433" s="427"/>
      <c r="Q433" s="428"/>
      <c r="R433" s="428"/>
      <c r="S433" s="428"/>
      <c r="T433" s="429">
        <f>-$E426*$E433/2</f>
        <v>-2.493795528</v>
      </c>
    </row>
    <row r="434" ht="12.75" customHeight="1">
      <c r="B434" s="78"/>
      <c r="C434" s="78"/>
      <c r="D434" s="78"/>
      <c r="E434" s="414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435"/>
    </row>
    <row r="435" ht="12.75" customHeight="1">
      <c r="A435" s="78" t="s">
        <v>33</v>
      </c>
      <c r="B435" s="436" t="s">
        <v>374</v>
      </c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437"/>
    </row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3.88"/>
    <col customWidth="1" min="3" max="3" width="17.13"/>
    <col customWidth="1" min="4" max="4" width="17.0"/>
    <col customWidth="1" min="5" max="5" width="10.75"/>
    <col customWidth="1" min="7" max="7" width="27.63"/>
    <col customWidth="1" min="8" max="8" width="27.13"/>
    <col customWidth="1" min="9" max="9" width="19.75"/>
    <col customWidth="1" min="10" max="10" width="12.5"/>
    <col customWidth="1" min="11" max="11" width="16.5"/>
    <col customWidth="1" min="12" max="12" width="16.25"/>
    <col customWidth="1" min="15" max="15" width="15.88"/>
  </cols>
  <sheetData>
    <row r="1" ht="19.5" customHeight="1">
      <c r="J1" s="438"/>
    </row>
    <row r="2" ht="23.25" customHeight="1">
      <c r="B2" s="439" t="s">
        <v>375</v>
      </c>
      <c r="C2" s="440"/>
      <c r="D2" s="440"/>
      <c r="E2" s="440"/>
      <c r="F2" s="441"/>
      <c r="G2" s="441"/>
      <c r="H2" s="441"/>
      <c r="I2" s="441"/>
      <c r="J2" s="442"/>
      <c r="K2" s="441"/>
      <c r="L2" s="441"/>
      <c r="M2" s="441"/>
      <c r="N2" s="441"/>
      <c r="O2" s="441"/>
    </row>
    <row r="3" ht="15.0" customHeight="1">
      <c r="B3" s="443" t="s">
        <v>376</v>
      </c>
      <c r="C3" s="441"/>
      <c r="D3" s="441"/>
      <c r="E3" s="441"/>
      <c r="F3" s="441"/>
      <c r="G3" s="441"/>
      <c r="H3" s="441"/>
      <c r="I3" s="441"/>
      <c r="J3" s="442"/>
      <c r="K3" s="441"/>
      <c r="L3" s="441"/>
      <c r="M3" s="441"/>
      <c r="N3" s="441"/>
      <c r="O3" s="441"/>
    </row>
    <row r="4" ht="15.0" customHeight="1">
      <c r="B4" s="444" t="s">
        <v>377</v>
      </c>
      <c r="C4" s="441"/>
      <c r="D4" s="441"/>
      <c r="E4" s="441"/>
      <c r="F4" s="441"/>
      <c r="G4" s="441"/>
      <c r="H4" s="441"/>
      <c r="I4" s="441"/>
      <c r="J4" s="442"/>
      <c r="K4" s="441"/>
      <c r="L4" s="441"/>
      <c r="M4" s="441"/>
      <c r="N4" s="441"/>
      <c r="O4" s="441"/>
    </row>
    <row r="5">
      <c r="J5" s="438"/>
    </row>
    <row r="6">
      <c r="B6" s="445" t="s">
        <v>378</v>
      </c>
      <c r="C6" s="441"/>
      <c r="D6" s="441"/>
      <c r="E6" s="441"/>
      <c r="G6" s="444" t="s">
        <v>379</v>
      </c>
      <c r="H6" s="441"/>
      <c r="I6" s="441"/>
      <c r="J6" s="442"/>
      <c r="K6" s="441"/>
      <c r="L6" s="441"/>
      <c r="M6" s="441"/>
      <c r="N6" s="441"/>
      <c r="O6" s="441"/>
    </row>
    <row r="7" ht="36.0" customHeight="1">
      <c r="B7" s="78" t="s">
        <v>380</v>
      </c>
      <c r="G7" s="446" t="s">
        <v>381</v>
      </c>
      <c r="H7" s="446" t="s">
        <v>382</v>
      </c>
      <c r="I7" s="446" t="s">
        <v>383</v>
      </c>
      <c r="J7" s="447" t="s">
        <v>384</v>
      </c>
      <c r="K7" s="448" t="s">
        <v>385</v>
      </c>
      <c r="L7" s="448" t="s">
        <v>386</v>
      </c>
      <c r="M7" s="446" t="s">
        <v>387</v>
      </c>
      <c r="N7" s="446" t="s">
        <v>388</v>
      </c>
      <c r="O7" s="447" t="s">
        <v>389</v>
      </c>
    </row>
    <row r="8">
      <c r="G8" s="153" t="s">
        <v>390</v>
      </c>
      <c r="H8" s="153" t="s">
        <v>391</v>
      </c>
      <c r="I8" s="153" t="s">
        <v>392</v>
      </c>
      <c r="J8" s="449">
        <v>1.98</v>
      </c>
      <c r="K8" s="450">
        <v>528.5</v>
      </c>
      <c r="L8" s="450">
        <v>2150.0</v>
      </c>
      <c r="M8" s="212">
        <f t="shared" ref="M8:M13" si="1">K8/L8</f>
        <v>0.2458139535</v>
      </c>
      <c r="N8" s="214">
        <v>0.0</v>
      </c>
      <c r="O8" s="451">
        <f t="shared" ref="O8:O13" si="2">IFERROR(J8/((1+M8)*(1-N8)),"-")</f>
        <v>1.589322382</v>
      </c>
    </row>
    <row r="9">
      <c r="B9" s="78" t="s">
        <v>393</v>
      </c>
      <c r="E9" s="225">
        <f>(Buildup!E57+Buildup!E67)/(Buildup!E57+Buildup!E67+Buildup!E83)</f>
        <v>0.5838733033</v>
      </c>
      <c r="G9" s="153" t="s">
        <v>394</v>
      </c>
      <c r="H9" s="153" t="s">
        <v>395</v>
      </c>
      <c r="I9" s="153" t="s">
        <v>396</v>
      </c>
      <c r="J9" s="449">
        <v>1.35</v>
      </c>
      <c r="K9" s="450">
        <v>5.8</v>
      </c>
      <c r="L9" s="450">
        <v>1020.0</v>
      </c>
      <c r="M9" s="212">
        <f t="shared" si="1"/>
        <v>0.00568627451</v>
      </c>
      <c r="N9" s="214">
        <v>0.6</v>
      </c>
      <c r="O9" s="451">
        <f t="shared" si="2"/>
        <v>3.355917333</v>
      </c>
    </row>
    <row r="10">
      <c r="B10" s="78" t="s">
        <v>397</v>
      </c>
      <c r="E10" s="225">
        <f>1-E9</f>
        <v>0.4161266967</v>
      </c>
      <c r="G10" s="153" t="s">
        <v>398</v>
      </c>
      <c r="H10" s="153" t="s">
        <v>399</v>
      </c>
      <c r="I10" s="153" t="s">
        <v>396</v>
      </c>
      <c r="J10" s="449">
        <v>0.85</v>
      </c>
      <c r="K10" s="450">
        <v>592.5</v>
      </c>
      <c r="L10" s="450">
        <v>2800.0</v>
      </c>
      <c r="M10" s="212">
        <f t="shared" si="1"/>
        <v>0.2116071429</v>
      </c>
      <c r="N10" s="452">
        <v>0.35</v>
      </c>
      <c r="O10" s="451">
        <f t="shared" si="2"/>
        <v>1.079303894</v>
      </c>
    </row>
    <row r="11" ht="15.0" customHeight="1">
      <c r="E11" s="225"/>
      <c r="G11" s="153" t="s">
        <v>400</v>
      </c>
      <c r="H11" s="153" t="s">
        <v>401</v>
      </c>
      <c r="I11" s="153" t="s">
        <v>396</v>
      </c>
      <c r="J11" s="449">
        <v>1.1</v>
      </c>
      <c r="K11" s="450">
        <v>165.0</v>
      </c>
      <c r="L11" s="450">
        <v>1350.0</v>
      </c>
      <c r="M11" s="212">
        <f t="shared" si="1"/>
        <v>0.1222222222</v>
      </c>
      <c r="N11" s="214">
        <v>0.5</v>
      </c>
      <c r="O11" s="451">
        <f t="shared" si="2"/>
        <v>1.96039604</v>
      </c>
    </row>
    <row r="12">
      <c r="B12" s="453" t="s">
        <v>402</v>
      </c>
      <c r="E12" s="225"/>
      <c r="G12" s="153" t="s">
        <v>403</v>
      </c>
      <c r="H12" s="153" t="s">
        <v>404</v>
      </c>
      <c r="I12" s="153" t="s">
        <v>405</v>
      </c>
      <c r="J12" s="449">
        <v>1.3</v>
      </c>
      <c r="K12" s="450">
        <v>598.0</v>
      </c>
      <c r="L12" s="450">
        <v>3100.0</v>
      </c>
      <c r="M12" s="212">
        <f t="shared" si="1"/>
        <v>0.1929032258</v>
      </c>
      <c r="N12" s="214">
        <v>0.39</v>
      </c>
      <c r="O12" s="451">
        <f t="shared" si="2"/>
        <v>1.786521735</v>
      </c>
    </row>
    <row r="13">
      <c r="B13" s="78" t="s">
        <v>406</v>
      </c>
      <c r="E13" s="454">
        <f>'Supuestos '!K170</f>
        <v>0.1019625007</v>
      </c>
      <c r="G13" s="153" t="s">
        <v>407</v>
      </c>
      <c r="H13" s="153" t="s">
        <v>408</v>
      </c>
      <c r="I13" s="153" t="s">
        <v>409</v>
      </c>
      <c r="J13" s="449">
        <v>0.75</v>
      </c>
      <c r="K13" s="450">
        <v>1950.0</v>
      </c>
      <c r="L13" s="450">
        <v>6500.0</v>
      </c>
      <c r="M13" s="212">
        <f t="shared" si="1"/>
        <v>0.3</v>
      </c>
      <c r="N13" s="214">
        <v>0.3</v>
      </c>
      <c r="O13" s="451">
        <f t="shared" si="2"/>
        <v>0.8241758242</v>
      </c>
    </row>
    <row r="14">
      <c r="B14" s="78" t="s">
        <v>410</v>
      </c>
      <c r="E14" s="455">
        <v>0.295</v>
      </c>
      <c r="G14" s="153"/>
      <c r="H14" s="153"/>
      <c r="I14" s="153"/>
      <c r="J14" s="456"/>
      <c r="K14" s="153"/>
      <c r="L14" s="153"/>
      <c r="M14" s="212"/>
      <c r="N14" s="153"/>
      <c r="O14" s="153"/>
    </row>
    <row r="15">
      <c r="B15" s="453" t="s">
        <v>411</v>
      </c>
      <c r="E15" s="457">
        <f>E13*(1-E14)</f>
        <v>0.07188356301</v>
      </c>
      <c r="G15" s="345" t="s">
        <v>412</v>
      </c>
      <c r="H15" s="299"/>
      <c r="I15" s="299"/>
      <c r="J15" s="458">
        <f t="shared" ref="J15:O15" si="3">AVERAGE(J8:J13)</f>
        <v>1.221666667</v>
      </c>
      <c r="K15" s="459">
        <f t="shared" si="3"/>
        <v>639.9666667</v>
      </c>
      <c r="L15" s="460">
        <f t="shared" si="3"/>
        <v>2820</v>
      </c>
      <c r="M15" s="461">
        <f t="shared" si="3"/>
        <v>0.1797054698</v>
      </c>
      <c r="N15" s="462">
        <f t="shared" si="3"/>
        <v>0.3566666667</v>
      </c>
      <c r="O15" s="463">
        <f t="shared" si="3"/>
        <v>1.765939535</v>
      </c>
      <c r="P15" s="153"/>
    </row>
    <row r="16" ht="15.0" customHeight="1">
      <c r="E16" s="225"/>
      <c r="G16" s="350" t="s">
        <v>413</v>
      </c>
      <c r="H16" s="259"/>
      <c r="I16" s="259"/>
      <c r="J16" s="464">
        <f t="shared" ref="J16:O16" si="4">MEDIAN(J8:J13)</f>
        <v>1.2</v>
      </c>
      <c r="K16" s="465">
        <f t="shared" si="4"/>
        <v>560.5</v>
      </c>
      <c r="L16" s="466">
        <f t="shared" si="4"/>
        <v>2475</v>
      </c>
      <c r="M16" s="467">
        <f t="shared" si="4"/>
        <v>0.2022551843</v>
      </c>
      <c r="N16" s="468">
        <f t="shared" si="4"/>
        <v>0.37</v>
      </c>
      <c r="O16" s="469">
        <f t="shared" si="4"/>
        <v>1.687922059</v>
      </c>
      <c r="P16" s="153"/>
    </row>
    <row r="17">
      <c r="B17" s="453" t="s">
        <v>414</v>
      </c>
      <c r="E17" s="225"/>
      <c r="J17" s="438"/>
    </row>
    <row r="18">
      <c r="B18" s="78" t="s">
        <v>415</v>
      </c>
      <c r="E18" s="455">
        <v>0.0458</v>
      </c>
      <c r="G18" s="379" t="s">
        <v>416</v>
      </c>
      <c r="H18" s="290"/>
      <c r="I18" s="470">
        <v>0.91</v>
      </c>
      <c r="J18" s="438"/>
    </row>
    <row r="19">
      <c r="B19" s="78" t="s">
        <v>417</v>
      </c>
      <c r="E19" s="455">
        <v>0.1355</v>
      </c>
      <c r="J19" s="438"/>
    </row>
    <row r="20">
      <c r="B20" s="78" t="s">
        <v>418</v>
      </c>
      <c r="E20" s="455">
        <v>0.0652</v>
      </c>
      <c r="G20" s="444" t="s">
        <v>419</v>
      </c>
      <c r="H20" s="444"/>
      <c r="I20" s="444"/>
      <c r="J20" s="471"/>
      <c r="K20" s="444"/>
      <c r="L20" s="444"/>
      <c r="M20" s="444"/>
      <c r="N20" s="444"/>
      <c r="O20" s="444"/>
    </row>
    <row r="21" ht="15.75" customHeight="1">
      <c r="B21" s="78" t="s">
        <v>420</v>
      </c>
      <c r="E21" s="225">
        <f>E19-E20</f>
        <v>0.0703</v>
      </c>
      <c r="J21" s="438"/>
      <c r="K21" s="187" t="s">
        <v>421</v>
      </c>
      <c r="L21" s="263" t="s">
        <v>422</v>
      </c>
      <c r="M21" s="263" t="s">
        <v>423</v>
      </c>
      <c r="N21" s="187" t="s">
        <v>424</v>
      </c>
    </row>
    <row r="22" ht="15.75" customHeight="1">
      <c r="B22" s="78" t="s">
        <v>425</v>
      </c>
      <c r="E22" s="472">
        <f>N25</f>
        <v>1.626427733</v>
      </c>
      <c r="J22" s="438"/>
      <c r="K22" s="187" t="s">
        <v>426</v>
      </c>
      <c r="L22" s="263" t="s">
        <v>427</v>
      </c>
      <c r="M22" s="263" t="s">
        <v>428</v>
      </c>
      <c r="N22" s="187" t="s">
        <v>429</v>
      </c>
    </row>
    <row r="23" ht="15.75" customHeight="1">
      <c r="B23" s="78" t="s">
        <v>430</v>
      </c>
      <c r="E23" s="455">
        <v>0.0126</v>
      </c>
      <c r="J23" s="438"/>
      <c r="K23" s="446" t="s">
        <v>431</v>
      </c>
      <c r="L23" s="473" t="s">
        <v>432</v>
      </c>
      <c r="M23" s="473" t="s">
        <v>432</v>
      </c>
      <c r="N23" s="446"/>
    </row>
    <row r="24" ht="15.75" customHeight="1">
      <c r="B24" s="78" t="s">
        <v>433</v>
      </c>
      <c r="E24" s="457">
        <f>E18+E22*E21+E23</f>
        <v>0.1727378696</v>
      </c>
      <c r="G24" s="196" t="s">
        <v>434</v>
      </c>
      <c r="J24" s="438"/>
      <c r="K24" s="472">
        <f>O15</f>
        <v>1.765939535</v>
      </c>
      <c r="L24" s="225">
        <f>E9/E10</f>
        <v>1.403114263</v>
      </c>
      <c r="M24" s="225">
        <f>N15</f>
        <v>0.3566666667</v>
      </c>
      <c r="N24" s="472">
        <f t="shared" ref="N24:N25" si="5">K24*(1+L24)*(1-M24)</f>
        <v>2.730148717</v>
      </c>
    </row>
    <row r="25" ht="15.75" customHeight="1">
      <c r="B25" s="78" t="s">
        <v>435</v>
      </c>
      <c r="E25" s="225">
        <f>E52</f>
        <v>0.01541</v>
      </c>
      <c r="G25" s="196" t="s">
        <v>436</v>
      </c>
      <c r="J25" s="438"/>
      <c r="K25" s="472">
        <v>0.96</v>
      </c>
      <c r="L25" s="225">
        <f>L24</f>
        <v>1.403114263</v>
      </c>
      <c r="M25" s="225">
        <f>E14</f>
        <v>0.295</v>
      </c>
      <c r="N25" s="472">
        <f t="shared" si="5"/>
        <v>1.626427733</v>
      </c>
    </row>
    <row r="26" ht="15.75" customHeight="1">
      <c r="B26" s="78" t="s">
        <v>437</v>
      </c>
      <c r="E26" s="225">
        <f>E24+E25</f>
        <v>0.1881478696</v>
      </c>
      <c r="J26" s="438"/>
    </row>
    <row r="27" ht="15.0" customHeight="1">
      <c r="E27" s="225"/>
      <c r="G27" s="444" t="s">
        <v>438</v>
      </c>
      <c r="H27" s="441"/>
      <c r="I27" s="441"/>
      <c r="J27" s="442"/>
      <c r="K27" s="441"/>
      <c r="L27" s="441"/>
      <c r="M27" s="441"/>
      <c r="N27" s="441"/>
      <c r="O27" s="441"/>
    </row>
    <row r="28" ht="15.75" customHeight="1">
      <c r="B28" s="453" t="s">
        <v>439</v>
      </c>
      <c r="E28" s="211">
        <f>E15*E9+E24*E10</f>
        <v>0.1138517325</v>
      </c>
      <c r="J28" s="438"/>
    </row>
    <row r="29" ht="15.0" customHeight="1">
      <c r="J29" s="438"/>
      <c r="K29" s="473" t="s">
        <v>440</v>
      </c>
      <c r="L29" s="474"/>
      <c r="M29" s="474"/>
      <c r="N29" s="474"/>
      <c r="O29" s="474"/>
    </row>
    <row r="30" ht="15.0" customHeight="1">
      <c r="I30" s="475" t="s">
        <v>441</v>
      </c>
      <c r="J30" s="476">
        <f>E28</f>
        <v>0.1138517325</v>
      </c>
      <c r="K30" s="477">
        <f t="shared" ref="K30:L30" si="6">L30-0.5%</f>
        <v>0.092</v>
      </c>
      <c r="L30" s="477">
        <f t="shared" si="6"/>
        <v>0.097</v>
      </c>
      <c r="M30" s="477">
        <v>0.102</v>
      </c>
      <c r="N30" s="477">
        <f t="shared" ref="N30:O30" si="7">M30+0.5%</f>
        <v>0.107</v>
      </c>
      <c r="O30" s="478">
        <f t="shared" si="7"/>
        <v>0.112</v>
      </c>
    </row>
    <row r="31" ht="15.0" customHeight="1">
      <c r="I31" s="479"/>
      <c r="J31" s="480">
        <f t="shared" ref="J31:J32" si="8">J32-10%</f>
        <v>0.384</v>
      </c>
      <c r="K31" s="214">
        <v>0.10845968</v>
      </c>
      <c r="L31" s="214">
        <v>0.10981328000000001</v>
      </c>
      <c r="M31" s="214">
        <v>0.11116688000000001</v>
      </c>
      <c r="N31" s="214">
        <v>0.11252048</v>
      </c>
      <c r="O31" s="212">
        <v>0.11387408000000002</v>
      </c>
    </row>
    <row r="32" ht="15.0" customHeight="1">
      <c r="I32" s="479"/>
      <c r="J32" s="481">
        <f t="shared" si="8"/>
        <v>0.484</v>
      </c>
      <c r="K32" s="214">
        <v>0.10910568000000002</v>
      </c>
      <c r="L32" s="482">
        <v>0.11081178000000003</v>
      </c>
      <c r="M32" s="482">
        <v>0.11251788000000001</v>
      </c>
      <c r="N32" s="482">
        <v>0.11422398000000003</v>
      </c>
      <c r="O32" s="212">
        <v>0.11593008000000003</v>
      </c>
    </row>
    <row r="33" ht="15.0" customHeight="1">
      <c r="I33" s="479"/>
      <c r="J33" s="481">
        <v>0.584</v>
      </c>
      <c r="K33" s="214">
        <v>0.10975168000000002</v>
      </c>
      <c r="L33" s="482">
        <v>0.11181028000000001</v>
      </c>
      <c r="M33" s="483">
        <v>0.11386888</v>
      </c>
      <c r="N33" s="482">
        <v>0.11592748</v>
      </c>
      <c r="O33" s="212">
        <v>0.11798608000000002</v>
      </c>
    </row>
    <row r="34" ht="15.0" customHeight="1">
      <c r="I34" s="479"/>
      <c r="J34" s="481">
        <f t="shared" ref="J34:J35" si="9">J33+10%</f>
        <v>0.684</v>
      </c>
      <c r="K34" s="214">
        <v>0.11039768000000003</v>
      </c>
      <c r="L34" s="482">
        <v>0.11280878000000003</v>
      </c>
      <c r="M34" s="482">
        <v>0.11521988000000002</v>
      </c>
      <c r="N34" s="482">
        <v>0.11763098000000002</v>
      </c>
      <c r="O34" s="212">
        <v>0.12004208000000002</v>
      </c>
    </row>
    <row r="35" ht="15.0" customHeight="1">
      <c r="I35" s="479"/>
      <c r="J35" s="484">
        <f t="shared" si="9"/>
        <v>0.784</v>
      </c>
      <c r="K35" s="214">
        <v>0.11104368000000002</v>
      </c>
      <c r="L35" s="214">
        <v>0.11380728000000001</v>
      </c>
      <c r="M35" s="214">
        <v>0.11657088000000002</v>
      </c>
      <c r="N35" s="214">
        <v>0.11933448000000002</v>
      </c>
      <c r="O35" s="212">
        <v>0.12209808000000003</v>
      </c>
    </row>
    <row r="36" ht="15.0" customHeight="1">
      <c r="B36" s="259"/>
      <c r="C36" s="259"/>
      <c r="D36" s="259"/>
      <c r="E36" s="259"/>
      <c r="F36" s="259"/>
      <c r="G36" s="259"/>
      <c r="H36" s="259"/>
      <c r="I36" s="259"/>
      <c r="J36" s="485"/>
      <c r="K36" s="259"/>
      <c r="L36" s="259"/>
      <c r="M36" s="259"/>
      <c r="N36" s="259"/>
      <c r="O36" s="259"/>
    </row>
    <row r="37" ht="15.75" customHeight="1">
      <c r="J37" s="438"/>
    </row>
    <row r="38" ht="15.0" customHeight="1">
      <c r="B38" s="154" t="s">
        <v>442</v>
      </c>
      <c r="J38" s="438"/>
    </row>
    <row r="39" ht="15.0" customHeight="1">
      <c r="B39" s="154" t="s">
        <v>443</v>
      </c>
      <c r="J39" s="438"/>
    </row>
    <row r="40" ht="15.0" customHeight="1">
      <c r="B40" s="154" t="s">
        <v>444</v>
      </c>
      <c r="J40" s="438"/>
    </row>
    <row r="41" ht="15.0" customHeight="1">
      <c r="B41" s="154" t="s">
        <v>445</v>
      </c>
      <c r="J41" s="438"/>
    </row>
    <row r="42" ht="15.0" customHeight="1">
      <c r="B42" s="154" t="s">
        <v>446</v>
      </c>
      <c r="J42" s="438"/>
    </row>
    <row r="43" ht="15.75" customHeight="1">
      <c r="J43" s="438"/>
    </row>
    <row r="44" ht="15.0" customHeight="1">
      <c r="B44" s="227" t="s">
        <v>447</v>
      </c>
      <c r="J44" s="438"/>
    </row>
    <row r="45" ht="15.0" customHeight="1">
      <c r="B45" s="154" t="s">
        <v>448</v>
      </c>
      <c r="E45" s="211">
        <f>E18</f>
        <v>0.0458</v>
      </c>
      <c r="J45" s="438"/>
    </row>
    <row r="46" ht="15.0" customHeight="1">
      <c r="B46" s="154" t="s">
        <v>449</v>
      </c>
      <c r="E46" s="211">
        <v>0.05683</v>
      </c>
      <c r="F46" s="154" t="s">
        <v>17</v>
      </c>
      <c r="J46" s="438"/>
    </row>
    <row r="47" ht="15.0" customHeight="1">
      <c r="B47" s="379" t="s">
        <v>450</v>
      </c>
      <c r="C47" s="290"/>
      <c r="D47" s="290"/>
      <c r="E47" s="486">
        <f>E46-E45</f>
        <v>0.01103</v>
      </c>
      <c r="J47" s="438"/>
    </row>
    <row r="48" ht="15.75" customHeight="1">
      <c r="J48" s="438"/>
    </row>
    <row r="49" ht="15.0" customHeight="1">
      <c r="B49" s="227" t="s">
        <v>451</v>
      </c>
      <c r="J49" s="438"/>
    </row>
    <row r="50" ht="15.0" customHeight="1">
      <c r="B50" s="154" t="s">
        <v>449</v>
      </c>
      <c r="E50" s="211">
        <f>E46</f>
        <v>0.05683</v>
      </c>
      <c r="J50" s="438"/>
    </row>
    <row r="51" ht="15.0" customHeight="1">
      <c r="B51" s="154" t="s">
        <v>452</v>
      </c>
      <c r="E51" s="211">
        <v>0.07224</v>
      </c>
      <c r="J51" s="438"/>
    </row>
    <row r="52" ht="15.0" customHeight="1">
      <c r="B52" s="379" t="s">
        <v>451</v>
      </c>
      <c r="C52" s="290"/>
      <c r="D52" s="290"/>
      <c r="E52" s="486">
        <f>E51-E50</f>
        <v>0.01541</v>
      </c>
      <c r="J52" s="438"/>
    </row>
    <row r="53" ht="15.75" customHeight="1">
      <c r="J53" s="438"/>
    </row>
    <row r="54" ht="15.75" customHeight="1">
      <c r="J54" s="438"/>
    </row>
    <row r="55" ht="15.75" customHeight="1">
      <c r="J55" s="438"/>
    </row>
    <row r="56" ht="15.75" customHeight="1">
      <c r="J56" s="438"/>
    </row>
    <row r="57" ht="15.75" customHeight="1">
      <c r="J57" s="438"/>
    </row>
    <row r="58" ht="15.75" customHeight="1">
      <c r="J58" s="438"/>
    </row>
    <row r="59" ht="15.75" customHeight="1">
      <c r="J59" s="438"/>
    </row>
    <row r="60" ht="15.75" customHeight="1">
      <c r="J60" s="438"/>
    </row>
    <row r="61" ht="15.75" customHeight="1">
      <c r="J61" s="438"/>
    </row>
    <row r="62" ht="15.75" customHeight="1">
      <c r="J62" s="438"/>
    </row>
    <row r="63" ht="15.75" customHeight="1">
      <c r="J63" s="438"/>
    </row>
    <row r="64" ht="15.75" customHeight="1">
      <c r="J64" s="438"/>
    </row>
    <row r="65" ht="15.75" customHeight="1">
      <c r="J65" s="438"/>
    </row>
    <row r="66" ht="15.75" customHeight="1">
      <c r="J66" s="438"/>
    </row>
    <row r="67" ht="15.75" customHeight="1">
      <c r="J67" s="438"/>
    </row>
    <row r="68" ht="15.75" customHeight="1">
      <c r="J68" s="438"/>
    </row>
    <row r="69" ht="15.75" customHeight="1">
      <c r="J69" s="438"/>
    </row>
    <row r="70" ht="15.75" customHeight="1">
      <c r="J70" s="438"/>
    </row>
    <row r="71" ht="15.75" customHeight="1">
      <c r="J71" s="438"/>
    </row>
    <row r="72" ht="15.75" customHeight="1">
      <c r="J72" s="438"/>
    </row>
    <row r="73" ht="15.75" customHeight="1">
      <c r="J73" s="438"/>
    </row>
    <row r="74" ht="15.75" customHeight="1">
      <c r="J74" s="438"/>
    </row>
    <row r="75" ht="15.75" customHeight="1">
      <c r="J75" s="438"/>
    </row>
    <row r="76" ht="15.75" customHeight="1">
      <c r="J76" s="438"/>
    </row>
    <row r="77" ht="15.75" customHeight="1">
      <c r="J77" s="438"/>
    </row>
    <row r="78" ht="15.75" customHeight="1">
      <c r="J78" s="438"/>
    </row>
    <row r="79" ht="15.75" customHeight="1">
      <c r="J79" s="438"/>
    </row>
    <row r="80" ht="15.75" customHeight="1">
      <c r="J80" s="438"/>
    </row>
    <row r="81" ht="15.75" customHeight="1">
      <c r="J81" s="438"/>
    </row>
    <row r="82" ht="15.75" customHeight="1">
      <c r="J82" s="438"/>
    </row>
    <row r="83" ht="15.75" customHeight="1">
      <c r="J83" s="438"/>
    </row>
    <row r="84" ht="15.75" customHeight="1">
      <c r="J84" s="438"/>
    </row>
    <row r="85" ht="15.75" customHeight="1">
      <c r="J85" s="438"/>
    </row>
    <row r="86" ht="15.75" customHeight="1">
      <c r="J86" s="438"/>
    </row>
    <row r="87" ht="15.75" customHeight="1">
      <c r="J87" s="438"/>
    </row>
    <row r="88" ht="15.75" customHeight="1">
      <c r="J88" s="438"/>
    </row>
    <row r="89" ht="15.75" customHeight="1">
      <c r="J89" s="438"/>
    </row>
    <row r="90" ht="15.75" customHeight="1">
      <c r="J90" s="438"/>
    </row>
    <row r="91" ht="15.75" customHeight="1">
      <c r="J91" s="438"/>
    </row>
    <row r="92" ht="15.75" customHeight="1">
      <c r="J92" s="438"/>
    </row>
    <row r="93" ht="15.75" customHeight="1">
      <c r="J93" s="438"/>
    </row>
    <row r="94" ht="15.75" customHeight="1">
      <c r="J94" s="438"/>
    </row>
    <row r="95" ht="15.75" customHeight="1">
      <c r="J95" s="438"/>
    </row>
    <row r="96" ht="15.75" customHeight="1">
      <c r="J96" s="438"/>
    </row>
    <row r="97" ht="15.75" customHeight="1">
      <c r="J97" s="438"/>
    </row>
    <row r="98" ht="15.75" customHeight="1">
      <c r="J98" s="438"/>
    </row>
    <row r="99" ht="15.75" customHeight="1">
      <c r="J99" s="438"/>
    </row>
    <row r="100" ht="15.75" customHeight="1">
      <c r="J100" s="438"/>
    </row>
    <row r="101" ht="15.75" customHeight="1">
      <c r="J101" s="438"/>
    </row>
    <row r="102" ht="15.75" customHeight="1">
      <c r="J102" s="438"/>
    </row>
    <row r="103" ht="15.75" customHeight="1">
      <c r="J103" s="438"/>
    </row>
    <row r="104" ht="15.75" customHeight="1">
      <c r="J104" s="438"/>
    </row>
    <row r="105" ht="15.75" customHeight="1">
      <c r="J105" s="438"/>
    </row>
    <row r="106" ht="15.75" customHeight="1">
      <c r="J106" s="438"/>
    </row>
    <row r="107" ht="15.75" customHeight="1">
      <c r="J107" s="438"/>
    </row>
    <row r="108" ht="15.75" customHeight="1">
      <c r="J108" s="438"/>
    </row>
    <row r="109" ht="15.75" customHeight="1">
      <c r="J109" s="438"/>
    </row>
    <row r="110" ht="15.75" customHeight="1">
      <c r="J110" s="438"/>
    </row>
    <row r="111" ht="15.75" customHeight="1">
      <c r="J111" s="438"/>
    </row>
    <row r="112" ht="15.75" customHeight="1">
      <c r="J112" s="438"/>
    </row>
    <row r="113" ht="15.75" customHeight="1">
      <c r="J113" s="438"/>
    </row>
    <row r="114" ht="15.75" customHeight="1">
      <c r="J114" s="438"/>
    </row>
    <row r="115" ht="15.75" customHeight="1">
      <c r="J115" s="438"/>
    </row>
    <row r="116" ht="15.75" customHeight="1">
      <c r="J116" s="438"/>
    </row>
    <row r="117" ht="15.75" customHeight="1">
      <c r="J117" s="438"/>
    </row>
    <row r="118" ht="15.75" customHeight="1">
      <c r="J118" s="438"/>
    </row>
    <row r="119" ht="15.75" customHeight="1">
      <c r="J119" s="438"/>
    </row>
    <row r="120" ht="15.75" customHeight="1">
      <c r="J120" s="438"/>
    </row>
    <row r="121" ht="15.75" customHeight="1">
      <c r="J121" s="438"/>
    </row>
    <row r="122" ht="15.75" customHeight="1">
      <c r="J122" s="438"/>
    </row>
    <row r="123" ht="15.75" customHeight="1">
      <c r="J123" s="438"/>
    </row>
    <row r="124" ht="15.75" customHeight="1">
      <c r="J124" s="438"/>
    </row>
    <row r="125" ht="15.75" customHeight="1">
      <c r="J125" s="438"/>
    </row>
    <row r="126" ht="15.75" customHeight="1">
      <c r="J126" s="438"/>
    </row>
    <row r="127" ht="15.75" customHeight="1">
      <c r="J127" s="438"/>
    </row>
    <row r="128" ht="15.75" customHeight="1">
      <c r="J128" s="438"/>
    </row>
    <row r="129" ht="15.75" customHeight="1">
      <c r="J129" s="438"/>
    </row>
    <row r="130" ht="15.75" customHeight="1">
      <c r="J130" s="438"/>
    </row>
    <row r="131" ht="15.75" customHeight="1">
      <c r="J131" s="438"/>
    </row>
    <row r="132" ht="15.75" customHeight="1">
      <c r="J132" s="438"/>
    </row>
    <row r="133" ht="15.75" customHeight="1">
      <c r="J133" s="438"/>
    </row>
    <row r="134" ht="15.75" customHeight="1">
      <c r="J134" s="438"/>
    </row>
    <row r="135" ht="15.75" customHeight="1">
      <c r="J135" s="438"/>
    </row>
    <row r="136" ht="15.75" customHeight="1">
      <c r="J136" s="438"/>
    </row>
    <row r="137" ht="15.75" customHeight="1">
      <c r="J137" s="438"/>
    </row>
    <row r="138" ht="15.75" customHeight="1">
      <c r="J138" s="438"/>
    </row>
    <row r="139" ht="15.75" customHeight="1">
      <c r="J139" s="438"/>
    </row>
    <row r="140" ht="15.75" customHeight="1">
      <c r="J140" s="438"/>
    </row>
    <row r="141" ht="15.75" customHeight="1">
      <c r="J141" s="438"/>
    </row>
    <row r="142" ht="15.75" customHeight="1">
      <c r="J142" s="438"/>
    </row>
    <row r="143" ht="15.75" customHeight="1">
      <c r="J143" s="438"/>
    </row>
    <row r="144" ht="15.75" customHeight="1">
      <c r="J144" s="438"/>
    </row>
    <row r="145" ht="15.75" customHeight="1">
      <c r="J145" s="438"/>
    </row>
    <row r="146" ht="15.75" customHeight="1">
      <c r="J146" s="438"/>
    </row>
    <row r="147" ht="15.75" customHeight="1">
      <c r="J147" s="438"/>
    </row>
    <row r="148" ht="15.75" customHeight="1">
      <c r="J148" s="438"/>
    </row>
    <row r="149" ht="15.75" customHeight="1">
      <c r="J149" s="438"/>
    </row>
    <row r="150" ht="15.75" customHeight="1">
      <c r="J150" s="438"/>
    </row>
    <row r="151" ht="15.75" customHeight="1">
      <c r="J151" s="438"/>
    </row>
    <row r="152" ht="15.75" customHeight="1">
      <c r="J152" s="438"/>
    </row>
    <row r="153" ht="15.75" customHeight="1">
      <c r="J153" s="438"/>
    </row>
    <row r="154" ht="15.75" customHeight="1">
      <c r="J154" s="438"/>
    </row>
    <row r="155" ht="15.75" customHeight="1">
      <c r="J155" s="438"/>
    </row>
    <row r="156" ht="15.75" customHeight="1">
      <c r="J156" s="438"/>
    </row>
    <row r="157" ht="15.75" customHeight="1">
      <c r="J157" s="438"/>
    </row>
    <row r="158" ht="15.75" customHeight="1">
      <c r="J158" s="438"/>
    </row>
    <row r="159" ht="15.75" customHeight="1">
      <c r="J159" s="438"/>
    </row>
    <row r="160" ht="15.75" customHeight="1">
      <c r="J160" s="438"/>
    </row>
    <row r="161" ht="15.75" customHeight="1">
      <c r="J161" s="438"/>
    </row>
    <row r="162" ht="15.75" customHeight="1">
      <c r="J162" s="438"/>
    </row>
    <row r="163" ht="15.75" customHeight="1">
      <c r="J163" s="438"/>
    </row>
    <row r="164" ht="15.75" customHeight="1">
      <c r="J164" s="438"/>
    </row>
    <row r="165" ht="15.75" customHeight="1">
      <c r="J165" s="438"/>
    </row>
    <row r="166" ht="15.75" customHeight="1">
      <c r="J166" s="438"/>
    </row>
    <row r="167" ht="15.75" customHeight="1">
      <c r="J167" s="438"/>
    </row>
    <row r="168" ht="15.75" customHeight="1">
      <c r="J168" s="438"/>
    </row>
    <row r="169" ht="15.75" customHeight="1">
      <c r="J169" s="438"/>
    </row>
    <row r="170" ht="15.75" customHeight="1">
      <c r="J170" s="438"/>
    </row>
    <row r="171" ht="15.75" customHeight="1">
      <c r="J171" s="438"/>
    </row>
    <row r="172" ht="15.75" customHeight="1">
      <c r="J172" s="438"/>
    </row>
    <row r="173" ht="15.75" customHeight="1">
      <c r="J173" s="438"/>
    </row>
    <row r="174" ht="15.75" customHeight="1">
      <c r="J174" s="438"/>
    </row>
    <row r="175" ht="15.75" customHeight="1">
      <c r="J175" s="438"/>
    </row>
    <row r="176" ht="15.75" customHeight="1">
      <c r="J176" s="438"/>
    </row>
    <row r="177" ht="15.75" customHeight="1">
      <c r="J177" s="438"/>
    </row>
    <row r="178" ht="15.75" customHeight="1">
      <c r="J178" s="438"/>
    </row>
    <row r="179" ht="15.75" customHeight="1">
      <c r="J179" s="438"/>
    </row>
    <row r="180" ht="15.75" customHeight="1">
      <c r="J180" s="438"/>
    </row>
    <row r="181" ht="15.75" customHeight="1">
      <c r="J181" s="438"/>
    </row>
    <row r="182" ht="15.75" customHeight="1">
      <c r="J182" s="438"/>
    </row>
    <row r="183" ht="15.75" customHeight="1">
      <c r="J183" s="438"/>
    </row>
    <row r="184" ht="15.75" customHeight="1">
      <c r="J184" s="438"/>
    </row>
    <row r="185" ht="15.75" customHeight="1">
      <c r="J185" s="438"/>
    </row>
    <row r="186" ht="15.75" customHeight="1">
      <c r="J186" s="438"/>
    </row>
    <row r="187" ht="15.75" customHeight="1">
      <c r="J187" s="438"/>
    </row>
    <row r="188" ht="15.75" customHeight="1">
      <c r="J188" s="438"/>
    </row>
    <row r="189" ht="15.75" customHeight="1">
      <c r="J189" s="438"/>
    </row>
    <row r="190" ht="15.75" customHeight="1">
      <c r="J190" s="438"/>
    </row>
    <row r="191" ht="15.75" customHeight="1">
      <c r="J191" s="438"/>
    </row>
    <row r="192" ht="15.75" customHeight="1">
      <c r="J192" s="438"/>
    </row>
    <row r="193" ht="15.75" customHeight="1">
      <c r="J193" s="438"/>
    </row>
    <row r="194" ht="15.75" customHeight="1">
      <c r="J194" s="438"/>
    </row>
    <row r="195" ht="15.75" customHeight="1">
      <c r="J195" s="438"/>
    </row>
    <row r="196" ht="15.75" customHeight="1">
      <c r="J196" s="438"/>
    </row>
    <row r="197" ht="15.75" customHeight="1">
      <c r="J197" s="438"/>
    </row>
    <row r="198" ht="15.75" customHeight="1">
      <c r="J198" s="438"/>
    </row>
    <row r="199" ht="15.75" customHeight="1">
      <c r="J199" s="438"/>
    </row>
    <row r="200" ht="15.75" customHeight="1">
      <c r="J200" s="438"/>
    </row>
    <row r="201" ht="15.75" customHeight="1">
      <c r="J201" s="438"/>
    </row>
    <row r="202" ht="15.75" customHeight="1">
      <c r="J202" s="438"/>
    </row>
    <row r="203" ht="15.75" customHeight="1">
      <c r="J203" s="438"/>
    </row>
    <row r="204" ht="15.75" customHeight="1">
      <c r="J204" s="438"/>
    </row>
    <row r="205" ht="15.75" customHeight="1">
      <c r="J205" s="438"/>
    </row>
    <row r="206" ht="15.75" customHeight="1">
      <c r="J206" s="438"/>
    </row>
    <row r="207" ht="15.75" customHeight="1">
      <c r="J207" s="438"/>
    </row>
    <row r="208" ht="15.75" customHeight="1">
      <c r="J208" s="438"/>
    </row>
    <row r="209" ht="15.75" customHeight="1">
      <c r="J209" s="438"/>
    </row>
    <row r="210" ht="15.75" customHeight="1">
      <c r="J210" s="438"/>
    </row>
    <row r="211" ht="15.75" customHeight="1">
      <c r="J211" s="438"/>
    </row>
    <row r="212" ht="15.75" customHeight="1">
      <c r="J212" s="438"/>
    </row>
    <row r="213" ht="15.75" customHeight="1">
      <c r="J213" s="438"/>
    </row>
    <row r="214" ht="15.75" customHeight="1">
      <c r="J214" s="438"/>
    </row>
    <row r="215" ht="15.75" customHeight="1">
      <c r="J215" s="438"/>
    </row>
    <row r="216" ht="15.75" customHeight="1">
      <c r="J216" s="438"/>
    </row>
    <row r="217" ht="15.75" customHeight="1">
      <c r="J217" s="438"/>
    </row>
    <row r="218" ht="15.75" customHeight="1">
      <c r="J218" s="438"/>
    </row>
    <row r="219" ht="15.75" customHeight="1">
      <c r="J219" s="438"/>
    </row>
    <row r="220" ht="15.75" customHeight="1">
      <c r="J220" s="438"/>
    </row>
    <row r="221" ht="15.75" customHeight="1">
      <c r="J221" s="438"/>
    </row>
    <row r="222" ht="15.75" customHeight="1">
      <c r="J222" s="438"/>
    </row>
    <row r="223" ht="15.75" customHeight="1">
      <c r="J223" s="438"/>
    </row>
    <row r="224" ht="15.75" customHeight="1">
      <c r="J224" s="438"/>
    </row>
    <row r="225" ht="15.75" customHeight="1">
      <c r="J225" s="438"/>
    </row>
    <row r="226" ht="15.75" customHeight="1">
      <c r="J226" s="438"/>
    </row>
    <row r="227" ht="15.75" customHeight="1">
      <c r="J227" s="438"/>
    </row>
    <row r="228" ht="15.75" customHeight="1">
      <c r="J228" s="438"/>
    </row>
    <row r="229" ht="15.75" customHeight="1">
      <c r="J229" s="438"/>
    </row>
    <row r="230" ht="15.75" customHeight="1">
      <c r="J230" s="438"/>
    </row>
    <row r="231" ht="15.75" customHeight="1">
      <c r="J231" s="438"/>
    </row>
    <row r="232" ht="15.75" customHeight="1">
      <c r="J232" s="438"/>
    </row>
    <row r="233" ht="15.75" customHeight="1">
      <c r="J233" s="438"/>
    </row>
    <row r="234" ht="15.75" customHeight="1">
      <c r="J234" s="438"/>
    </row>
    <row r="235" ht="15.75" customHeight="1">
      <c r="J235" s="438"/>
    </row>
    <row r="236" ht="15.75" customHeight="1">
      <c r="J236" s="438"/>
    </row>
    <row r="237" ht="15.75" customHeight="1">
      <c r="J237" s="438"/>
    </row>
    <row r="238" ht="15.75" customHeight="1">
      <c r="J238" s="438"/>
    </row>
    <row r="239" ht="15.75" customHeight="1">
      <c r="J239" s="438"/>
    </row>
    <row r="240" ht="15.75" customHeight="1">
      <c r="J240" s="438"/>
    </row>
    <row r="241" ht="15.75" customHeight="1">
      <c r="J241" s="438"/>
    </row>
    <row r="242" ht="15.75" customHeight="1">
      <c r="J242" s="438"/>
    </row>
    <row r="243" ht="15.75" customHeight="1">
      <c r="J243" s="438"/>
    </row>
    <row r="244" ht="15.75" customHeight="1">
      <c r="J244" s="438"/>
    </row>
    <row r="245" ht="15.75" customHeight="1">
      <c r="J245" s="438"/>
    </row>
    <row r="246" ht="15.75" customHeight="1">
      <c r="J246" s="438"/>
    </row>
    <row r="247" ht="15.75" customHeight="1">
      <c r="J247" s="438"/>
    </row>
    <row r="248" ht="15.75" customHeight="1">
      <c r="J248" s="438"/>
    </row>
    <row r="249" ht="15.75" customHeight="1">
      <c r="J249" s="438"/>
    </row>
    <row r="250" ht="15.75" customHeight="1">
      <c r="J250" s="438"/>
    </row>
    <row r="251" ht="15.75" customHeight="1">
      <c r="J251" s="438"/>
    </row>
    <row r="252" ht="15.75" customHeight="1">
      <c r="J252" s="438"/>
    </row>
    <row r="253" ht="15.75" customHeight="1">
      <c r="J253" s="438"/>
    </row>
    <row r="254" ht="15.75" customHeight="1">
      <c r="J254" s="438"/>
    </row>
    <row r="255" ht="15.75" customHeight="1">
      <c r="J255" s="438"/>
    </row>
    <row r="256" ht="15.75" customHeight="1">
      <c r="J256" s="438"/>
    </row>
    <row r="257" ht="15.75" customHeight="1">
      <c r="J257" s="438"/>
    </row>
    <row r="258" ht="15.75" customHeight="1">
      <c r="J258" s="438"/>
    </row>
    <row r="259" ht="15.75" customHeight="1">
      <c r="J259" s="438"/>
    </row>
    <row r="260" ht="15.75" customHeight="1">
      <c r="J260" s="438"/>
    </row>
    <row r="261" ht="15.75" customHeight="1">
      <c r="J261" s="438"/>
    </row>
    <row r="262" ht="15.75" customHeight="1">
      <c r="J262" s="438"/>
    </row>
    <row r="263" ht="15.75" customHeight="1">
      <c r="J263" s="438"/>
    </row>
    <row r="264" ht="15.75" customHeight="1">
      <c r="J264" s="438"/>
    </row>
    <row r="265" ht="15.75" customHeight="1">
      <c r="J265" s="438"/>
    </row>
    <row r="266" ht="15.75" customHeight="1">
      <c r="J266" s="438"/>
    </row>
    <row r="267" ht="15.75" customHeight="1">
      <c r="J267" s="438"/>
    </row>
    <row r="268" ht="15.75" customHeight="1">
      <c r="J268" s="438"/>
    </row>
    <row r="269" ht="15.75" customHeight="1">
      <c r="J269" s="438"/>
    </row>
    <row r="270" ht="15.75" customHeight="1">
      <c r="J270" s="438"/>
    </row>
    <row r="271" ht="15.75" customHeight="1">
      <c r="J271" s="438"/>
    </row>
    <row r="272" ht="15.75" customHeight="1">
      <c r="J272" s="438"/>
    </row>
    <row r="273" ht="15.75" customHeight="1">
      <c r="J273" s="438"/>
    </row>
    <row r="274" ht="15.75" customHeight="1">
      <c r="J274" s="438"/>
    </row>
    <row r="275" ht="15.75" customHeight="1">
      <c r="J275" s="438"/>
    </row>
    <row r="276" ht="15.75" customHeight="1">
      <c r="J276" s="438"/>
    </row>
    <row r="277" ht="15.75" customHeight="1">
      <c r="J277" s="438"/>
    </row>
    <row r="278" ht="15.75" customHeight="1">
      <c r="J278" s="438"/>
    </row>
    <row r="279" ht="15.75" customHeight="1">
      <c r="J279" s="438"/>
    </row>
    <row r="280" ht="15.75" customHeight="1">
      <c r="J280" s="438"/>
    </row>
    <row r="281" ht="15.75" customHeight="1">
      <c r="J281" s="438"/>
    </row>
    <row r="282" ht="15.75" customHeight="1">
      <c r="J282" s="438"/>
    </row>
    <row r="283" ht="15.75" customHeight="1">
      <c r="J283" s="438"/>
    </row>
    <row r="284" ht="15.75" customHeight="1">
      <c r="J284" s="438"/>
    </row>
    <row r="285" ht="15.75" customHeight="1">
      <c r="J285" s="438"/>
    </row>
    <row r="286" ht="15.75" customHeight="1">
      <c r="J286" s="438"/>
    </row>
    <row r="287" ht="15.75" customHeight="1">
      <c r="J287" s="438"/>
    </row>
    <row r="288" ht="15.75" customHeight="1">
      <c r="J288" s="438"/>
    </row>
    <row r="289" ht="15.75" customHeight="1">
      <c r="J289" s="438"/>
    </row>
    <row r="290" ht="15.75" customHeight="1">
      <c r="J290" s="438"/>
    </row>
    <row r="291" ht="15.75" customHeight="1">
      <c r="J291" s="438"/>
    </row>
    <row r="292" ht="15.75" customHeight="1">
      <c r="J292" s="438"/>
    </row>
    <row r="293" ht="15.75" customHeight="1">
      <c r="J293" s="438"/>
    </row>
    <row r="294" ht="15.75" customHeight="1">
      <c r="J294" s="438"/>
    </row>
    <row r="295" ht="15.75" customHeight="1">
      <c r="J295" s="438"/>
    </row>
    <row r="296" ht="15.75" customHeight="1">
      <c r="J296" s="438"/>
    </row>
    <row r="297" ht="15.75" customHeight="1">
      <c r="J297" s="438"/>
    </row>
    <row r="298" ht="15.75" customHeight="1">
      <c r="J298" s="438"/>
    </row>
    <row r="299" ht="15.75" customHeight="1">
      <c r="J299" s="438"/>
    </row>
    <row r="300" ht="15.75" customHeight="1">
      <c r="J300" s="438"/>
    </row>
    <row r="301" ht="15.75" customHeight="1">
      <c r="J301" s="438"/>
    </row>
    <row r="302" ht="15.75" customHeight="1">
      <c r="J302" s="438"/>
    </row>
    <row r="303" ht="15.75" customHeight="1">
      <c r="J303" s="438"/>
    </row>
    <row r="304" ht="15.75" customHeight="1">
      <c r="J304" s="438"/>
    </row>
    <row r="305" ht="15.75" customHeight="1">
      <c r="J305" s="438"/>
    </row>
    <row r="306" ht="15.75" customHeight="1">
      <c r="J306" s="438"/>
    </row>
    <row r="307" ht="15.75" customHeight="1">
      <c r="J307" s="438"/>
    </row>
    <row r="308" ht="15.75" customHeight="1">
      <c r="J308" s="438"/>
    </row>
    <row r="309" ht="15.75" customHeight="1">
      <c r="J309" s="438"/>
    </row>
    <row r="310" ht="15.75" customHeight="1">
      <c r="J310" s="438"/>
    </row>
    <row r="311" ht="15.75" customHeight="1">
      <c r="J311" s="438"/>
    </row>
    <row r="312" ht="15.75" customHeight="1">
      <c r="J312" s="438"/>
    </row>
    <row r="313" ht="15.75" customHeight="1">
      <c r="J313" s="438"/>
    </row>
    <row r="314" ht="15.75" customHeight="1">
      <c r="J314" s="438"/>
    </row>
    <row r="315" ht="15.75" customHeight="1">
      <c r="J315" s="438"/>
    </row>
    <row r="316" ht="15.75" customHeight="1">
      <c r="J316" s="438"/>
    </row>
    <row r="317" ht="15.75" customHeight="1">
      <c r="J317" s="438"/>
    </row>
    <row r="318" ht="15.75" customHeight="1">
      <c r="J318" s="438"/>
    </row>
    <row r="319" ht="15.75" customHeight="1">
      <c r="J319" s="438"/>
    </row>
    <row r="320" ht="15.75" customHeight="1">
      <c r="J320" s="438"/>
    </row>
    <row r="321" ht="15.75" customHeight="1">
      <c r="J321" s="438"/>
    </row>
    <row r="322" ht="15.75" customHeight="1">
      <c r="J322" s="438"/>
    </row>
    <row r="323" ht="15.75" customHeight="1">
      <c r="J323" s="438"/>
    </row>
    <row r="324" ht="15.75" customHeight="1">
      <c r="J324" s="438"/>
    </row>
    <row r="325" ht="15.75" customHeight="1">
      <c r="J325" s="438"/>
    </row>
    <row r="326" ht="15.75" customHeight="1">
      <c r="J326" s="438"/>
    </row>
    <row r="327" ht="15.75" customHeight="1">
      <c r="J327" s="438"/>
    </row>
    <row r="328" ht="15.75" customHeight="1">
      <c r="J328" s="438"/>
    </row>
    <row r="329" ht="15.75" customHeight="1">
      <c r="J329" s="438"/>
    </row>
    <row r="330" ht="15.75" customHeight="1">
      <c r="J330" s="438"/>
    </row>
    <row r="331" ht="15.75" customHeight="1">
      <c r="J331" s="438"/>
    </row>
    <row r="332" ht="15.75" customHeight="1">
      <c r="J332" s="438"/>
    </row>
    <row r="333" ht="15.75" customHeight="1">
      <c r="J333" s="438"/>
    </row>
    <row r="334" ht="15.75" customHeight="1">
      <c r="J334" s="438"/>
    </row>
    <row r="335" ht="15.75" customHeight="1">
      <c r="J335" s="438"/>
    </row>
    <row r="336" ht="15.75" customHeight="1">
      <c r="J336" s="438"/>
    </row>
    <row r="337" ht="15.75" customHeight="1">
      <c r="J337" s="438"/>
    </row>
    <row r="338" ht="15.75" customHeight="1">
      <c r="J338" s="438"/>
    </row>
    <row r="339" ht="15.75" customHeight="1">
      <c r="J339" s="438"/>
    </row>
    <row r="340" ht="15.75" customHeight="1">
      <c r="J340" s="438"/>
    </row>
    <row r="341" ht="15.75" customHeight="1">
      <c r="J341" s="438"/>
    </row>
    <row r="342" ht="15.75" customHeight="1">
      <c r="J342" s="438"/>
    </row>
    <row r="343" ht="15.75" customHeight="1">
      <c r="J343" s="438"/>
    </row>
    <row r="344" ht="15.75" customHeight="1">
      <c r="J344" s="438"/>
    </row>
    <row r="345" ht="15.75" customHeight="1">
      <c r="J345" s="438"/>
    </row>
    <row r="346" ht="15.75" customHeight="1">
      <c r="J346" s="438"/>
    </row>
    <row r="347" ht="15.75" customHeight="1">
      <c r="J347" s="438"/>
    </row>
    <row r="348" ht="15.75" customHeight="1">
      <c r="J348" s="438"/>
    </row>
    <row r="349" ht="15.75" customHeight="1">
      <c r="J349" s="438"/>
    </row>
    <row r="350" ht="15.75" customHeight="1">
      <c r="J350" s="438"/>
    </row>
    <row r="351" ht="15.75" customHeight="1">
      <c r="J351" s="438"/>
    </row>
    <row r="352" ht="15.75" customHeight="1">
      <c r="J352" s="438"/>
    </row>
    <row r="353" ht="15.75" customHeight="1">
      <c r="J353" s="438"/>
    </row>
    <row r="354" ht="15.75" customHeight="1">
      <c r="J354" s="438"/>
    </row>
    <row r="355" ht="15.75" customHeight="1">
      <c r="J355" s="438"/>
    </row>
    <row r="356" ht="15.75" customHeight="1">
      <c r="J356" s="438"/>
    </row>
    <row r="357" ht="15.75" customHeight="1">
      <c r="J357" s="438"/>
    </row>
    <row r="358" ht="15.75" customHeight="1">
      <c r="J358" s="438"/>
    </row>
    <row r="359" ht="15.75" customHeight="1">
      <c r="J359" s="438"/>
    </row>
    <row r="360" ht="15.75" customHeight="1">
      <c r="J360" s="438"/>
    </row>
    <row r="361" ht="15.75" customHeight="1">
      <c r="J361" s="438"/>
    </row>
    <row r="362" ht="15.75" customHeight="1">
      <c r="J362" s="438"/>
    </row>
    <row r="363" ht="15.75" customHeight="1">
      <c r="J363" s="438"/>
    </row>
    <row r="364" ht="15.75" customHeight="1">
      <c r="J364" s="438"/>
    </row>
    <row r="365" ht="15.75" customHeight="1">
      <c r="J365" s="438"/>
    </row>
    <row r="366" ht="15.75" customHeight="1">
      <c r="J366" s="438"/>
    </row>
    <row r="367" ht="15.75" customHeight="1">
      <c r="J367" s="438"/>
    </row>
    <row r="368" ht="15.75" customHeight="1">
      <c r="J368" s="438"/>
    </row>
    <row r="369" ht="15.75" customHeight="1">
      <c r="J369" s="438"/>
    </row>
    <row r="370" ht="15.75" customHeight="1">
      <c r="J370" s="438"/>
    </row>
    <row r="371" ht="15.75" customHeight="1">
      <c r="J371" s="438"/>
    </row>
    <row r="372" ht="15.75" customHeight="1">
      <c r="J372" s="438"/>
    </row>
    <row r="373" ht="15.75" customHeight="1">
      <c r="J373" s="438"/>
    </row>
    <row r="374" ht="15.75" customHeight="1">
      <c r="J374" s="438"/>
    </row>
    <row r="375" ht="15.75" customHeight="1">
      <c r="J375" s="438"/>
    </row>
    <row r="376" ht="15.75" customHeight="1">
      <c r="J376" s="438"/>
    </row>
    <row r="377" ht="15.75" customHeight="1">
      <c r="J377" s="438"/>
    </row>
    <row r="378" ht="15.75" customHeight="1">
      <c r="J378" s="438"/>
    </row>
    <row r="379" ht="15.75" customHeight="1">
      <c r="J379" s="438"/>
    </row>
    <row r="380" ht="15.75" customHeight="1">
      <c r="J380" s="438"/>
    </row>
    <row r="381" ht="15.75" customHeight="1">
      <c r="J381" s="438"/>
    </row>
    <row r="382" ht="15.75" customHeight="1">
      <c r="J382" s="438"/>
    </row>
    <row r="383" ht="15.75" customHeight="1">
      <c r="J383" s="438"/>
    </row>
    <row r="384" ht="15.75" customHeight="1">
      <c r="J384" s="438"/>
    </row>
    <row r="385" ht="15.75" customHeight="1">
      <c r="J385" s="438"/>
    </row>
    <row r="386" ht="15.75" customHeight="1">
      <c r="J386" s="438"/>
    </row>
    <row r="387" ht="15.75" customHeight="1">
      <c r="J387" s="438"/>
    </row>
    <row r="388" ht="15.75" customHeight="1">
      <c r="J388" s="438"/>
    </row>
    <row r="389" ht="15.75" customHeight="1">
      <c r="J389" s="438"/>
    </row>
    <row r="390" ht="15.75" customHeight="1">
      <c r="J390" s="438"/>
    </row>
    <row r="391" ht="15.75" customHeight="1">
      <c r="J391" s="438"/>
    </row>
    <row r="392" ht="15.75" customHeight="1">
      <c r="J392" s="438"/>
    </row>
    <row r="393" ht="15.75" customHeight="1">
      <c r="J393" s="438"/>
    </row>
    <row r="394" ht="15.75" customHeight="1">
      <c r="J394" s="438"/>
    </row>
    <row r="395" ht="15.75" customHeight="1">
      <c r="J395" s="438"/>
    </row>
    <row r="396" ht="15.75" customHeight="1">
      <c r="J396" s="438"/>
    </row>
    <row r="397" ht="15.75" customHeight="1">
      <c r="J397" s="438"/>
    </row>
    <row r="398" ht="15.75" customHeight="1">
      <c r="J398" s="438"/>
    </row>
    <row r="399" ht="15.75" customHeight="1">
      <c r="J399" s="438"/>
    </row>
    <row r="400" ht="15.75" customHeight="1">
      <c r="J400" s="438"/>
    </row>
    <row r="401" ht="15.75" customHeight="1">
      <c r="J401" s="438"/>
    </row>
    <row r="402" ht="15.75" customHeight="1">
      <c r="J402" s="438"/>
    </row>
    <row r="403" ht="15.75" customHeight="1">
      <c r="J403" s="438"/>
    </row>
    <row r="404" ht="15.75" customHeight="1">
      <c r="J404" s="438"/>
    </row>
    <row r="405" ht="15.75" customHeight="1">
      <c r="J405" s="438"/>
    </row>
    <row r="406" ht="15.75" customHeight="1">
      <c r="J406" s="438"/>
    </row>
    <row r="407" ht="15.75" customHeight="1">
      <c r="J407" s="438"/>
    </row>
    <row r="408" ht="15.75" customHeight="1">
      <c r="J408" s="438"/>
    </row>
    <row r="409" ht="15.75" customHeight="1">
      <c r="J409" s="438"/>
    </row>
    <row r="410" ht="15.75" customHeight="1">
      <c r="J410" s="438"/>
    </row>
    <row r="411" ht="15.75" customHeight="1">
      <c r="J411" s="438"/>
    </row>
    <row r="412" ht="15.75" customHeight="1">
      <c r="J412" s="438"/>
    </row>
    <row r="413" ht="15.75" customHeight="1">
      <c r="J413" s="438"/>
    </row>
    <row r="414" ht="15.75" customHeight="1">
      <c r="J414" s="438"/>
    </row>
    <row r="415" ht="15.75" customHeight="1">
      <c r="J415" s="438"/>
    </row>
    <row r="416" ht="15.75" customHeight="1">
      <c r="J416" s="438"/>
    </row>
    <row r="417" ht="15.75" customHeight="1">
      <c r="J417" s="438"/>
    </row>
    <row r="418" ht="15.75" customHeight="1">
      <c r="J418" s="438"/>
    </row>
    <row r="419" ht="15.75" customHeight="1">
      <c r="J419" s="438"/>
    </row>
    <row r="420" ht="15.75" customHeight="1">
      <c r="J420" s="438"/>
    </row>
    <row r="421" ht="15.75" customHeight="1">
      <c r="J421" s="438"/>
    </row>
    <row r="422" ht="15.75" customHeight="1">
      <c r="J422" s="438"/>
    </row>
    <row r="423" ht="15.75" customHeight="1">
      <c r="J423" s="438"/>
    </row>
    <row r="424" ht="15.75" customHeight="1">
      <c r="J424" s="438"/>
    </row>
    <row r="425" ht="15.75" customHeight="1">
      <c r="J425" s="438"/>
    </row>
    <row r="426" ht="15.75" customHeight="1">
      <c r="J426" s="438"/>
    </row>
    <row r="427" ht="15.75" customHeight="1">
      <c r="J427" s="438"/>
    </row>
    <row r="428" ht="15.75" customHeight="1">
      <c r="J428" s="438"/>
    </row>
    <row r="429" ht="15.75" customHeight="1">
      <c r="J429" s="438"/>
    </row>
    <row r="430" ht="15.75" customHeight="1">
      <c r="J430" s="438"/>
    </row>
    <row r="431" ht="15.75" customHeight="1">
      <c r="J431" s="438"/>
    </row>
    <row r="432" ht="15.75" customHeight="1">
      <c r="J432" s="438"/>
    </row>
    <row r="433" ht="15.75" customHeight="1">
      <c r="J433" s="438"/>
    </row>
    <row r="434" ht="15.75" customHeight="1">
      <c r="J434" s="438"/>
    </row>
    <row r="435" ht="15.75" customHeight="1">
      <c r="J435" s="438"/>
    </row>
    <row r="436" ht="15.75" customHeight="1">
      <c r="J436" s="438"/>
    </row>
    <row r="437" ht="15.75" customHeight="1">
      <c r="J437" s="438"/>
    </row>
    <row r="438" ht="15.75" customHeight="1">
      <c r="J438" s="438"/>
    </row>
    <row r="439" ht="15.75" customHeight="1">
      <c r="J439" s="438"/>
    </row>
    <row r="440" ht="15.75" customHeight="1">
      <c r="J440" s="438"/>
    </row>
    <row r="441" ht="15.75" customHeight="1">
      <c r="J441" s="438"/>
    </row>
    <row r="442" ht="15.75" customHeight="1">
      <c r="J442" s="438"/>
    </row>
    <row r="443" ht="15.75" customHeight="1">
      <c r="J443" s="438"/>
    </row>
    <row r="444" ht="15.75" customHeight="1">
      <c r="J444" s="438"/>
    </row>
    <row r="445" ht="15.75" customHeight="1">
      <c r="J445" s="438"/>
    </row>
    <row r="446" ht="15.75" customHeight="1">
      <c r="J446" s="438"/>
    </row>
    <row r="447" ht="15.75" customHeight="1">
      <c r="J447" s="438"/>
    </row>
    <row r="448" ht="15.75" customHeight="1">
      <c r="J448" s="438"/>
    </row>
    <row r="449" ht="15.75" customHeight="1">
      <c r="J449" s="438"/>
    </row>
    <row r="450" ht="15.75" customHeight="1">
      <c r="J450" s="438"/>
    </row>
    <row r="451" ht="15.75" customHeight="1">
      <c r="J451" s="438"/>
    </row>
    <row r="452" ht="15.75" customHeight="1">
      <c r="J452" s="438"/>
    </row>
    <row r="453" ht="15.75" customHeight="1">
      <c r="J453" s="438"/>
    </row>
    <row r="454" ht="15.75" customHeight="1">
      <c r="J454" s="438"/>
    </row>
    <row r="455" ht="15.75" customHeight="1">
      <c r="J455" s="438"/>
    </row>
    <row r="456" ht="15.75" customHeight="1">
      <c r="J456" s="438"/>
    </row>
    <row r="457" ht="15.75" customHeight="1">
      <c r="J457" s="438"/>
    </row>
    <row r="458" ht="15.75" customHeight="1">
      <c r="J458" s="438"/>
    </row>
    <row r="459" ht="15.75" customHeight="1">
      <c r="J459" s="438"/>
    </row>
    <row r="460" ht="15.75" customHeight="1">
      <c r="J460" s="438"/>
    </row>
    <row r="461" ht="15.75" customHeight="1">
      <c r="J461" s="438"/>
    </row>
    <row r="462" ht="15.75" customHeight="1">
      <c r="J462" s="438"/>
    </row>
    <row r="463" ht="15.75" customHeight="1">
      <c r="J463" s="438"/>
    </row>
    <row r="464" ht="15.75" customHeight="1">
      <c r="J464" s="438"/>
    </row>
    <row r="465" ht="15.75" customHeight="1">
      <c r="J465" s="438"/>
    </row>
    <row r="466" ht="15.75" customHeight="1">
      <c r="J466" s="438"/>
    </row>
    <row r="467" ht="15.75" customHeight="1">
      <c r="J467" s="438"/>
    </row>
    <row r="468" ht="15.75" customHeight="1">
      <c r="J468" s="438"/>
    </row>
    <row r="469" ht="15.75" customHeight="1">
      <c r="J469" s="438"/>
    </row>
    <row r="470" ht="15.75" customHeight="1">
      <c r="J470" s="438"/>
    </row>
    <row r="471" ht="15.75" customHeight="1">
      <c r="J471" s="438"/>
    </row>
    <row r="472" ht="15.75" customHeight="1">
      <c r="J472" s="438"/>
    </row>
    <row r="473" ht="15.75" customHeight="1">
      <c r="J473" s="438"/>
    </row>
    <row r="474" ht="15.75" customHeight="1">
      <c r="J474" s="438"/>
    </row>
    <row r="475" ht="15.75" customHeight="1">
      <c r="J475" s="438"/>
    </row>
    <row r="476" ht="15.75" customHeight="1">
      <c r="J476" s="438"/>
    </row>
    <row r="477" ht="15.75" customHeight="1">
      <c r="J477" s="438"/>
    </row>
    <row r="478" ht="15.75" customHeight="1">
      <c r="J478" s="438"/>
    </row>
    <row r="479" ht="15.75" customHeight="1">
      <c r="J479" s="438"/>
    </row>
    <row r="480" ht="15.75" customHeight="1">
      <c r="J480" s="438"/>
    </row>
    <row r="481" ht="15.75" customHeight="1">
      <c r="J481" s="438"/>
    </row>
    <row r="482" ht="15.75" customHeight="1">
      <c r="J482" s="438"/>
    </row>
    <row r="483" ht="15.75" customHeight="1">
      <c r="J483" s="438"/>
    </row>
    <row r="484" ht="15.75" customHeight="1">
      <c r="J484" s="438"/>
    </row>
    <row r="485" ht="15.75" customHeight="1">
      <c r="J485" s="438"/>
    </row>
    <row r="486" ht="15.75" customHeight="1">
      <c r="J486" s="438"/>
    </row>
    <row r="487" ht="15.75" customHeight="1">
      <c r="J487" s="438"/>
    </row>
    <row r="488" ht="15.75" customHeight="1">
      <c r="J488" s="438"/>
    </row>
    <row r="489" ht="15.75" customHeight="1">
      <c r="J489" s="438"/>
    </row>
    <row r="490" ht="15.75" customHeight="1">
      <c r="J490" s="438"/>
    </row>
    <row r="491" ht="15.75" customHeight="1">
      <c r="J491" s="438"/>
    </row>
    <row r="492" ht="15.75" customHeight="1">
      <c r="J492" s="438"/>
    </row>
    <row r="493" ht="15.75" customHeight="1">
      <c r="J493" s="438"/>
    </row>
    <row r="494" ht="15.75" customHeight="1">
      <c r="J494" s="438"/>
    </row>
    <row r="495" ht="15.75" customHeight="1">
      <c r="J495" s="438"/>
    </row>
    <row r="496" ht="15.75" customHeight="1">
      <c r="J496" s="438"/>
    </row>
    <row r="497" ht="15.75" customHeight="1">
      <c r="J497" s="438"/>
    </row>
    <row r="498" ht="15.75" customHeight="1">
      <c r="J498" s="438"/>
    </row>
    <row r="499" ht="15.75" customHeight="1">
      <c r="J499" s="438"/>
    </row>
    <row r="500" ht="15.75" customHeight="1">
      <c r="J500" s="438"/>
    </row>
    <row r="501" ht="15.75" customHeight="1">
      <c r="J501" s="438"/>
    </row>
    <row r="502" ht="15.75" customHeight="1">
      <c r="J502" s="438"/>
    </row>
    <row r="503" ht="15.75" customHeight="1">
      <c r="J503" s="438"/>
    </row>
    <row r="504" ht="15.75" customHeight="1">
      <c r="J504" s="438"/>
    </row>
    <row r="505" ht="15.75" customHeight="1">
      <c r="J505" s="438"/>
    </row>
    <row r="506" ht="15.75" customHeight="1">
      <c r="J506" s="438"/>
    </row>
    <row r="507" ht="15.75" customHeight="1">
      <c r="J507" s="438"/>
    </row>
    <row r="508" ht="15.75" customHeight="1">
      <c r="J508" s="438"/>
    </row>
    <row r="509" ht="15.75" customHeight="1">
      <c r="J509" s="438"/>
    </row>
    <row r="510" ht="15.75" customHeight="1">
      <c r="J510" s="438"/>
    </row>
    <row r="511" ht="15.75" customHeight="1">
      <c r="J511" s="438"/>
    </row>
    <row r="512" ht="15.75" customHeight="1">
      <c r="J512" s="438"/>
    </row>
    <row r="513" ht="15.75" customHeight="1">
      <c r="J513" s="438"/>
    </row>
    <row r="514" ht="15.75" customHeight="1">
      <c r="J514" s="438"/>
    </row>
    <row r="515" ht="15.75" customHeight="1">
      <c r="J515" s="438"/>
    </row>
    <row r="516" ht="15.75" customHeight="1">
      <c r="J516" s="438"/>
    </row>
    <row r="517" ht="15.75" customHeight="1">
      <c r="J517" s="438"/>
    </row>
    <row r="518" ht="15.75" customHeight="1">
      <c r="J518" s="438"/>
    </row>
    <row r="519" ht="15.75" customHeight="1">
      <c r="J519" s="438"/>
    </row>
    <row r="520" ht="15.75" customHeight="1">
      <c r="J520" s="438"/>
    </row>
    <row r="521" ht="15.75" customHeight="1">
      <c r="J521" s="438"/>
    </row>
    <row r="522" ht="15.75" customHeight="1">
      <c r="J522" s="438"/>
    </row>
    <row r="523" ht="15.75" customHeight="1">
      <c r="J523" s="438"/>
    </row>
    <row r="524" ht="15.75" customHeight="1">
      <c r="J524" s="438"/>
    </row>
    <row r="525" ht="15.75" customHeight="1">
      <c r="J525" s="438"/>
    </row>
    <row r="526" ht="15.75" customHeight="1">
      <c r="J526" s="438"/>
    </row>
    <row r="527" ht="15.75" customHeight="1">
      <c r="J527" s="438"/>
    </row>
    <row r="528" ht="15.75" customHeight="1">
      <c r="J528" s="438"/>
    </row>
    <row r="529" ht="15.75" customHeight="1">
      <c r="J529" s="438"/>
    </row>
    <row r="530" ht="15.75" customHeight="1">
      <c r="J530" s="438"/>
    </row>
    <row r="531" ht="15.75" customHeight="1">
      <c r="J531" s="438"/>
    </row>
    <row r="532" ht="15.75" customHeight="1">
      <c r="J532" s="438"/>
    </row>
    <row r="533" ht="15.75" customHeight="1">
      <c r="J533" s="438"/>
    </row>
    <row r="534" ht="15.75" customHeight="1">
      <c r="J534" s="438"/>
    </row>
    <row r="535" ht="15.75" customHeight="1">
      <c r="J535" s="438"/>
    </row>
    <row r="536" ht="15.75" customHeight="1">
      <c r="J536" s="438"/>
    </row>
    <row r="537" ht="15.75" customHeight="1">
      <c r="J537" s="438"/>
    </row>
    <row r="538" ht="15.75" customHeight="1">
      <c r="J538" s="438"/>
    </row>
    <row r="539" ht="15.75" customHeight="1">
      <c r="J539" s="438"/>
    </row>
    <row r="540" ht="15.75" customHeight="1">
      <c r="J540" s="438"/>
    </row>
    <row r="541" ht="15.75" customHeight="1">
      <c r="J541" s="438"/>
    </row>
    <row r="542" ht="15.75" customHeight="1">
      <c r="J542" s="438"/>
    </row>
    <row r="543" ht="15.75" customHeight="1">
      <c r="J543" s="438"/>
    </row>
    <row r="544" ht="15.75" customHeight="1">
      <c r="J544" s="438"/>
    </row>
    <row r="545" ht="15.75" customHeight="1">
      <c r="J545" s="438"/>
    </row>
    <row r="546" ht="15.75" customHeight="1">
      <c r="J546" s="438"/>
    </row>
    <row r="547" ht="15.75" customHeight="1">
      <c r="J547" s="438"/>
    </row>
    <row r="548" ht="15.75" customHeight="1">
      <c r="J548" s="438"/>
    </row>
    <row r="549" ht="15.75" customHeight="1">
      <c r="J549" s="438"/>
    </row>
    <row r="550" ht="15.75" customHeight="1">
      <c r="J550" s="438"/>
    </row>
    <row r="551" ht="15.75" customHeight="1">
      <c r="J551" s="438"/>
    </row>
    <row r="552" ht="15.75" customHeight="1">
      <c r="J552" s="438"/>
    </row>
    <row r="553" ht="15.75" customHeight="1">
      <c r="J553" s="438"/>
    </row>
    <row r="554" ht="15.75" customHeight="1">
      <c r="J554" s="438"/>
    </row>
    <row r="555" ht="15.75" customHeight="1">
      <c r="J555" s="438"/>
    </row>
    <row r="556" ht="15.75" customHeight="1">
      <c r="J556" s="438"/>
    </row>
    <row r="557" ht="15.75" customHeight="1">
      <c r="J557" s="438"/>
    </row>
    <row r="558" ht="15.75" customHeight="1">
      <c r="J558" s="438"/>
    </row>
    <row r="559" ht="15.75" customHeight="1">
      <c r="J559" s="438"/>
    </row>
    <row r="560" ht="15.75" customHeight="1">
      <c r="J560" s="438"/>
    </row>
    <row r="561" ht="15.75" customHeight="1">
      <c r="J561" s="438"/>
    </row>
    <row r="562" ht="15.75" customHeight="1">
      <c r="J562" s="438"/>
    </row>
    <row r="563" ht="15.75" customHeight="1">
      <c r="J563" s="438"/>
    </row>
    <row r="564" ht="15.75" customHeight="1">
      <c r="J564" s="438"/>
    </row>
    <row r="565" ht="15.75" customHeight="1">
      <c r="J565" s="438"/>
    </row>
    <row r="566" ht="15.75" customHeight="1">
      <c r="J566" s="438"/>
    </row>
    <row r="567" ht="15.75" customHeight="1">
      <c r="J567" s="438"/>
    </row>
    <row r="568" ht="15.75" customHeight="1">
      <c r="J568" s="438"/>
    </row>
    <row r="569" ht="15.75" customHeight="1">
      <c r="J569" s="438"/>
    </row>
    <row r="570" ht="15.75" customHeight="1">
      <c r="J570" s="438"/>
    </row>
    <row r="571" ht="15.75" customHeight="1">
      <c r="J571" s="438"/>
    </row>
    <row r="572" ht="15.75" customHeight="1">
      <c r="J572" s="438"/>
    </row>
    <row r="573" ht="15.75" customHeight="1">
      <c r="J573" s="438"/>
    </row>
    <row r="574" ht="15.75" customHeight="1">
      <c r="J574" s="438"/>
    </row>
    <row r="575" ht="15.75" customHeight="1">
      <c r="J575" s="438"/>
    </row>
    <row r="576" ht="15.75" customHeight="1">
      <c r="J576" s="438"/>
    </row>
    <row r="577" ht="15.75" customHeight="1">
      <c r="J577" s="438"/>
    </row>
    <row r="578" ht="15.75" customHeight="1">
      <c r="J578" s="438"/>
    </row>
    <row r="579" ht="15.75" customHeight="1">
      <c r="J579" s="438"/>
    </row>
    <row r="580" ht="15.75" customHeight="1">
      <c r="J580" s="438"/>
    </row>
    <row r="581" ht="15.75" customHeight="1">
      <c r="J581" s="438"/>
    </row>
    <row r="582" ht="15.75" customHeight="1">
      <c r="J582" s="438"/>
    </row>
    <row r="583" ht="15.75" customHeight="1">
      <c r="J583" s="438"/>
    </row>
    <row r="584" ht="15.75" customHeight="1">
      <c r="J584" s="438"/>
    </row>
    <row r="585" ht="15.75" customHeight="1">
      <c r="J585" s="438"/>
    </row>
    <row r="586" ht="15.75" customHeight="1">
      <c r="J586" s="438"/>
    </row>
    <row r="587" ht="15.75" customHeight="1">
      <c r="J587" s="438"/>
    </row>
    <row r="588" ht="15.75" customHeight="1">
      <c r="J588" s="438"/>
    </row>
    <row r="589" ht="15.75" customHeight="1">
      <c r="J589" s="438"/>
    </row>
    <row r="590" ht="15.75" customHeight="1">
      <c r="J590" s="438"/>
    </row>
    <row r="591" ht="15.75" customHeight="1">
      <c r="J591" s="438"/>
    </row>
    <row r="592" ht="15.75" customHeight="1">
      <c r="J592" s="438"/>
    </row>
    <row r="593" ht="15.75" customHeight="1">
      <c r="J593" s="438"/>
    </row>
    <row r="594" ht="15.75" customHeight="1">
      <c r="J594" s="438"/>
    </row>
    <row r="595" ht="15.75" customHeight="1">
      <c r="J595" s="438"/>
    </row>
    <row r="596" ht="15.75" customHeight="1">
      <c r="J596" s="438"/>
    </row>
    <row r="597" ht="15.75" customHeight="1">
      <c r="J597" s="438"/>
    </row>
    <row r="598" ht="15.75" customHeight="1">
      <c r="J598" s="438"/>
    </row>
    <row r="599" ht="15.75" customHeight="1">
      <c r="J599" s="438"/>
    </row>
    <row r="600" ht="15.75" customHeight="1">
      <c r="J600" s="438"/>
    </row>
    <row r="601" ht="15.75" customHeight="1">
      <c r="J601" s="438"/>
    </row>
    <row r="602" ht="15.75" customHeight="1">
      <c r="J602" s="438"/>
    </row>
    <row r="603" ht="15.75" customHeight="1">
      <c r="J603" s="438"/>
    </row>
    <row r="604" ht="15.75" customHeight="1">
      <c r="J604" s="438"/>
    </row>
    <row r="605" ht="15.75" customHeight="1">
      <c r="J605" s="438"/>
    </row>
    <row r="606" ht="15.75" customHeight="1">
      <c r="J606" s="438"/>
    </row>
    <row r="607" ht="15.75" customHeight="1">
      <c r="J607" s="438"/>
    </row>
    <row r="608" ht="15.75" customHeight="1">
      <c r="J608" s="438"/>
    </row>
    <row r="609" ht="15.75" customHeight="1">
      <c r="J609" s="438"/>
    </row>
    <row r="610" ht="15.75" customHeight="1">
      <c r="J610" s="438"/>
    </row>
    <row r="611" ht="15.75" customHeight="1">
      <c r="J611" s="438"/>
    </row>
    <row r="612" ht="15.75" customHeight="1">
      <c r="J612" s="438"/>
    </row>
    <row r="613" ht="15.75" customHeight="1">
      <c r="J613" s="438"/>
    </row>
    <row r="614" ht="15.75" customHeight="1">
      <c r="J614" s="438"/>
    </row>
    <row r="615" ht="15.75" customHeight="1">
      <c r="J615" s="438"/>
    </row>
    <row r="616" ht="15.75" customHeight="1">
      <c r="J616" s="438"/>
    </row>
    <row r="617" ht="15.75" customHeight="1">
      <c r="J617" s="438"/>
    </row>
    <row r="618" ht="15.75" customHeight="1">
      <c r="J618" s="438"/>
    </row>
    <row r="619" ht="15.75" customHeight="1">
      <c r="J619" s="438"/>
    </row>
    <row r="620" ht="15.75" customHeight="1">
      <c r="J620" s="438"/>
    </row>
    <row r="621" ht="15.75" customHeight="1">
      <c r="J621" s="438"/>
    </row>
    <row r="622" ht="15.75" customHeight="1">
      <c r="J622" s="438"/>
    </row>
    <row r="623" ht="15.75" customHeight="1">
      <c r="J623" s="438"/>
    </row>
    <row r="624" ht="15.75" customHeight="1">
      <c r="J624" s="438"/>
    </row>
    <row r="625" ht="15.75" customHeight="1">
      <c r="J625" s="438"/>
    </row>
    <row r="626" ht="15.75" customHeight="1">
      <c r="J626" s="438"/>
    </row>
    <row r="627" ht="15.75" customHeight="1">
      <c r="J627" s="438"/>
    </row>
    <row r="628" ht="15.75" customHeight="1">
      <c r="J628" s="438"/>
    </row>
    <row r="629" ht="15.75" customHeight="1">
      <c r="J629" s="438"/>
    </row>
    <row r="630" ht="15.75" customHeight="1">
      <c r="J630" s="438"/>
    </row>
    <row r="631" ht="15.75" customHeight="1">
      <c r="J631" s="438"/>
    </row>
    <row r="632" ht="15.75" customHeight="1">
      <c r="J632" s="438"/>
    </row>
    <row r="633" ht="15.75" customHeight="1">
      <c r="J633" s="438"/>
    </row>
    <row r="634" ht="15.75" customHeight="1">
      <c r="J634" s="438"/>
    </row>
    <row r="635" ht="15.75" customHeight="1">
      <c r="J635" s="438"/>
    </row>
    <row r="636" ht="15.75" customHeight="1">
      <c r="J636" s="438"/>
    </row>
    <row r="637" ht="15.75" customHeight="1">
      <c r="J637" s="438"/>
    </row>
    <row r="638" ht="15.75" customHeight="1">
      <c r="J638" s="438"/>
    </row>
    <row r="639" ht="15.75" customHeight="1">
      <c r="J639" s="438"/>
    </row>
    <row r="640" ht="15.75" customHeight="1">
      <c r="J640" s="438"/>
    </row>
    <row r="641" ht="15.75" customHeight="1">
      <c r="J641" s="438"/>
    </row>
    <row r="642" ht="15.75" customHeight="1">
      <c r="J642" s="438"/>
    </row>
    <row r="643" ht="15.75" customHeight="1">
      <c r="J643" s="438"/>
    </row>
    <row r="644" ht="15.75" customHeight="1">
      <c r="J644" s="438"/>
    </row>
    <row r="645" ht="15.75" customHeight="1">
      <c r="J645" s="438"/>
    </row>
    <row r="646" ht="15.75" customHeight="1">
      <c r="J646" s="438"/>
    </row>
    <row r="647" ht="15.75" customHeight="1">
      <c r="J647" s="438"/>
    </row>
    <row r="648" ht="15.75" customHeight="1">
      <c r="J648" s="438"/>
    </row>
    <row r="649" ht="15.75" customHeight="1">
      <c r="J649" s="438"/>
    </row>
    <row r="650" ht="15.75" customHeight="1">
      <c r="J650" s="438"/>
    </row>
    <row r="651" ht="15.75" customHeight="1">
      <c r="J651" s="438"/>
    </row>
    <row r="652" ht="15.75" customHeight="1">
      <c r="J652" s="438"/>
    </row>
    <row r="653" ht="15.75" customHeight="1">
      <c r="J653" s="438"/>
    </row>
    <row r="654" ht="15.75" customHeight="1">
      <c r="J654" s="438"/>
    </row>
    <row r="655" ht="15.75" customHeight="1">
      <c r="J655" s="438"/>
    </row>
    <row r="656" ht="15.75" customHeight="1">
      <c r="J656" s="438"/>
    </row>
    <row r="657" ht="15.75" customHeight="1">
      <c r="J657" s="438"/>
    </row>
    <row r="658" ht="15.75" customHeight="1">
      <c r="J658" s="438"/>
    </row>
    <row r="659" ht="15.75" customHeight="1">
      <c r="J659" s="438"/>
    </row>
    <row r="660" ht="15.75" customHeight="1">
      <c r="J660" s="438"/>
    </row>
    <row r="661" ht="15.75" customHeight="1">
      <c r="J661" s="438"/>
    </row>
    <row r="662" ht="15.75" customHeight="1">
      <c r="J662" s="438"/>
    </row>
    <row r="663" ht="15.75" customHeight="1">
      <c r="J663" s="438"/>
    </row>
    <row r="664" ht="15.75" customHeight="1">
      <c r="J664" s="438"/>
    </row>
    <row r="665" ht="15.75" customHeight="1">
      <c r="J665" s="438"/>
    </row>
    <row r="666" ht="15.75" customHeight="1">
      <c r="J666" s="438"/>
    </row>
    <row r="667" ht="15.75" customHeight="1">
      <c r="J667" s="438"/>
    </row>
    <row r="668" ht="15.75" customHeight="1">
      <c r="J668" s="438"/>
    </row>
    <row r="669" ht="15.75" customHeight="1">
      <c r="J669" s="438"/>
    </row>
    <row r="670" ht="15.75" customHeight="1">
      <c r="J670" s="438"/>
    </row>
    <row r="671" ht="15.75" customHeight="1">
      <c r="J671" s="438"/>
    </row>
    <row r="672" ht="15.75" customHeight="1">
      <c r="J672" s="438"/>
    </row>
    <row r="673" ht="15.75" customHeight="1">
      <c r="J673" s="438"/>
    </row>
    <row r="674" ht="15.75" customHeight="1">
      <c r="J674" s="438"/>
    </row>
    <row r="675" ht="15.75" customHeight="1">
      <c r="J675" s="438"/>
    </row>
    <row r="676" ht="15.75" customHeight="1">
      <c r="J676" s="438"/>
    </row>
    <row r="677" ht="15.75" customHeight="1">
      <c r="J677" s="438"/>
    </row>
    <row r="678" ht="15.75" customHeight="1">
      <c r="J678" s="438"/>
    </row>
    <row r="679" ht="15.75" customHeight="1">
      <c r="J679" s="438"/>
    </row>
    <row r="680" ht="15.75" customHeight="1">
      <c r="J680" s="438"/>
    </row>
    <row r="681" ht="15.75" customHeight="1">
      <c r="J681" s="438"/>
    </row>
    <row r="682" ht="15.75" customHeight="1">
      <c r="J682" s="438"/>
    </row>
    <row r="683" ht="15.75" customHeight="1">
      <c r="J683" s="438"/>
    </row>
    <row r="684" ht="15.75" customHeight="1">
      <c r="J684" s="438"/>
    </row>
    <row r="685" ht="15.75" customHeight="1">
      <c r="J685" s="438"/>
    </row>
    <row r="686" ht="15.75" customHeight="1">
      <c r="J686" s="438"/>
    </row>
    <row r="687" ht="15.75" customHeight="1">
      <c r="J687" s="438"/>
    </row>
    <row r="688" ht="15.75" customHeight="1">
      <c r="J688" s="438"/>
    </row>
    <row r="689" ht="15.75" customHeight="1">
      <c r="J689" s="438"/>
    </row>
    <row r="690" ht="15.75" customHeight="1">
      <c r="J690" s="438"/>
    </row>
    <row r="691" ht="15.75" customHeight="1">
      <c r="J691" s="438"/>
    </row>
    <row r="692" ht="15.75" customHeight="1">
      <c r="J692" s="438"/>
    </row>
    <row r="693" ht="15.75" customHeight="1">
      <c r="J693" s="438"/>
    </row>
    <row r="694" ht="15.75" customHeight="1">
      <c r="J694" s="438"/>
    </row>
    <row r="695" ht="15.75" customHeight="1">
      <c r="J695" s="438"/>
    </row>
    <row r="696" ht="15.75" customHeight="1">
      <c r="J696" s="438"/>
    </row>
    <row r="697" ht="15.75" customHeight="1">
      <c r="J697" s="438"/>
    </row>
    <row r="698" ht="15.75" customHeight="1">
      <c r="J698" s="438"/>
    </row>
    <row r="699" ht="15.75" customHeight="1">
      <c r="J699" s="438"/>
    </row>
    <row r="700" ht="15.75" customHeight="1">
      <c r="J700" s="438"/>
    </row>
    <row r="701" ht="15.75" customHeight="1">
      <c r="J701" s="438"/>
    </row>
    <row r="702" ht="15.75" customHeight="1">
      <c r="J702" s="438"/>
    </row>
    <row r="703" ht="15.75" customHeight="1">
      <c r="J703" s="438"/>
    </row>
    <row r="704" ht="15.75" customHeight="1">
      <c r="J704" s="438"/>
    </row>
    <row r="705" ht="15.75" customHeight="1">
      <c r="J705" s="438"/>
    </row>
    <row r="706" ht="15.75" customHeight="1">
      <c r="J706" s="438"/>
    </row>
    <row r="707" ht="15.75" customHeight="1">
      <c r="J707" s="438"/>
    </row>
    <row r="708" ht="15.75" customHeight="1">
      <c r="J708" s="438"/>
    </row>
    <row r="709" ht="15.75" customHeight="1">
      <c r="J709" s="438"/>
    </row>
    <row r="710" ht="15.75" customHeight="1">
      <c r="J710" s="438"/>
    </row>
    <row r="711" ht="15.75" customHeight="1">
      <c r="J711" s="438"/>
    </row>
    <row r="712" ht="15.75" customHeight="1">
      <c r="J712" s="438"/>
    </row>
    <row r="713" ht="15.75" customHeight="1">
      <c r="J713" s="438"/>
    </row>
    <row r="714" ht="15.75" customHeight="1">
      <c r="J714" s="438"/>
    </row>
    <row r="715" ht="15.75" customHeight="1">
      <c r="J715" s="438"/>
    </row>
    <row r="716" ht="15.75" customHeight="1">
      <c r="J716" s="438"/>
    </row>
    <row r="717" ht="15.75" customHeight="1">
      <c r="J717" s="438"/>
    </row>
    <row r="718" ht="15.75" customHeight="1">
      <c r="J718" s="438"/>
    </row>
    <row r="719" ht="15.75" customHeight="1">
      <c r="J719" s="438"/>
    </row>
    <row r="720" ht="15.75" customHeight="1">
      <c r="J720" s="438"/>
    </row>
    <row r="721" ht="15.75" customHeight="1">
      <c r="J721" s="438"/>
    </row>
    <row r="722" ht="15.75" customHeight="1">
      <c r="J722" s="438"/>
    </row>
    <row r="723" ht="15.75" customHeight="1">
      <c r="J723" s="438"/>
    </row>
    <row r="724" ht="15.75" customHeight="1">
      <c r="J724" s="438"/>
    </row>
    <row r="725" ht="15.75" customHeight="1">
      <c r="J725" s="438"/>
    </row>
    <row r="726" ht="15.75" customHeight="1">
      <c r="J726" s="438"/>
    </row>
    <row r="727" ht="15.75" customHeight="1">
      <c r="J727" s="438"/>
    </row>
    <row r="728" ht="15.75" customHeight="1">
      <c r="J728" s="438"/>
    </row>
    <row r="729" ht="15.75" customHeight="1">
      <c r="J729" s="438"/>
    </row>
    <row r="730" ht="15.75" customHeight="1">
      <c r="J730" s="438"/>
    </row>
    <row r="731" ht="15.75" customHeight="1">
      <c r="J731" s="438"/>
    </row>
    <row r="732" ht="15.75" customHeight="1">
      <c r="J732" s="438"/>
    </row>
    <row r="733" ht="15.75" customHeight="1">
      <c r="J733" s="438"/>
    </row>
    <row r="734" ht="15.75" customHeight="1">
      <c r="J734" s="438"/>
    </row>
    <row r="735" ht="15.75" customHeight="1">
      <c r="J735" s="438"/>
    </row>
    <row r="736" ht="15.75" customHeight="1">
      <c r="J736" s="438"/>
    </row>
    <row r="737" ht="15.75" customHeight="1">
      <c r="J737" s="438"/>
    </row>
    <row r="738" ht="15.75" customHeight="1">
      <c r="J738" s="438"/>
    </row>
    <row r="739" ht="15.75" customHeight="1">
      <c r="J739" s="438"/>
    </row>
    <row r="740" ht="15.75" customHeight="1">
      <c r="J740" s="438"/>
    </row>
    <row r="741" ht="15.75" customHeight="1">
      <c r="J741" s="438"/>
    </row>
    <row r="742" ht="15.75" customHeight="1">
      <c r="J742" s="438"/>
    </row>
    <row r="743" ht="15.75" customHeight="1">
      <c r="J743" s="438"/>
    </row>
    <row r="744" ht="15.75" customHeight="1">
      <c r="J744" s="438"/>
    </row>
    <row r="745" ht="15.75" customHeight="1">
      <c r="J745" s="438"/>
    </row>
    <row r="746" ht="15.75" customHeight="1">
      <c r="J746" s="438"/>
    </row>
    <row r="747" ht="15.75" customHeight="1">
      <c r="J747" s="438"/>
    </row>
    <row r="748" ht="15.75" customHeight="1">
      <c r="J748" s="438"/>
    </row>
    <row r="749" ht="15.75" customHeight="1">
      <c r="J749" s="438"/>
    </row>
    <row r="750" ht="15.75" customHeight="1">
      <c r="J750" s="438"/>
    </row>
    <row r="751" ht="15.75" customHeight="1">
      <c r="J751" s="438"/>
    </row>
    <row r="752" ht="15.75" customHeight="1">
      <c r="J752" s="438"/>
    </row>
    <row r="753" ht="15.75" customHeight="1">
      <c r="J753" s="438"/>
    </row>
    <row r="754" ht="15.75" customHeight="1">
      <c r="J754" s="438"/>
    </row>
    <row r="755" ht="15.75" customHeight="1">
      <c r="J755" s="438"/>
    </row>
    <row r="756" ht="15.75" customHeight="1">
      <c r="J756" s="438"/>
    </row>
    <row r="757" ht="15.75" customHeight="1">
      <c r="J757" s="438"/>
    </row>
    <row r="758" ht="15.75" customHeight="1">
      <c r="J758" s="438"/>
    </row>
    <row r="759" ht="15.75" customHeight="1">
      <c r="J759" s="438"/>
    </row>
    <row r="760" ht="15.75" customHeight="1">
      <c r="J760" s="438"/>
    </row>
    <row r="761" ht="15.75" customHeight="1">
      <c r="J761" s="438"/>
    </row>
    <row r="762" ht="15.75" customHeight="1">
      <c r="J762" s="438"/>
    </row>
    <row r="763" ht="15.75" customHeight="1">
      <c r="J763" s="438"/>
    </row>
    <row r="764" ht="15.75" customHeight="1">
      <c r="J764" s="438"/>
    </row>
    <row r="765" ht="15.75" customHeight="1">
      <c r="J765" s="438"/>
    </row>
    <row r="766" ht="15.75" customHeight="1">
      <c r="J766" s="438"/>
    </row>
    <row r="767" ht="15.75" customHeight="1">
      <c r="J767" s="438"/>
    </row>
    <row r="768" ht="15.75" customHeight="1">
      <c r="J768" s="438"/>
    </row>
    <row r="769" ht="15.75" customHeight="1">
      <c r="J769" s="438"/>
    </row>
    <row r="770" ht="15.75" customHeight="1">
      <c r="J770" s="438"/>
    </row>
    <row r="771" ht="15.75" customHeight="1">
      <c r="J771" s="438"/>
    </row>
    <row r="772" ht="15.75" customHeight="1">
      <c r="J772" s="438"/>
    </row>
    <row r="773" ht="15.75" customHeight="1">
      <c r="J773" s="438"/>
    </row>
    <row r="774" ht="15.75" customHeight="1">
      <c r="J774" s="438"/>
    </row>
    <row r="775" ht="15.75" customHeight="1">
      <c r="J775" s="438"/>
    </row>
    <row r="776" ht="15.75" customHeight="1">
      <c r="J776" s="438"/>
    </row>
    <row r="777" ht="15.75" customHeight="1">
      <c r="J777" s="438"/>
    </row>
    <row r="778" ht="15.75" customHeight="1">
      <c r="J778" s="438"/>
    </row>
    <row r="779" ht="15.75" customHeight="1">
      <c r="J779" s="438"/>
    </row>
    <row r="780" ht="15.75" customHeight="1">
      <c r="J780" s="438"/>
    </row>
    <row r="781" ht="15.75" customHeight="1">
      <c r="J781" s="438"/>
    </row>
    <row r="782" ht="15.75" customHeight="1">
      <c r="J782" s="438"/>
    </row>
    <row r="783" ht="15.75" customHeight="1">
      <c r="J783" s="438"/>
    </row>
    <row r="784" ht="15.75" customHeight="1">
      <c r="J784" s="438"/>
    </row>
    <row r="785" ht="15.75" customHeight="1">
      <c r="J785" s="438"/>
    </row>
    <row r="786" ht="15.75" customHeight="1">
      <c r="J786" s="438"/>
    </row>
    <row r="787" ht="15.75" customHeight="1">
      <c r="J787" s="438"/>
    </row>
    <row r="788" ht="15.75" customHeight="1">
      <c r="J788" s="438"/>
    </row>
    <row r="789" ht="15.75" customHeight="1">
      <c r="J789" s="438"/>
    </row>
    <row r="790" ht="15.75" customHeight="1">
      <c r="J790" s="438"/>
    </row>
    <row r="791" ht="15.75" customHeight="1">
      <c r="J791" s="438"/>
    </row>
    <row r="792" ht="15.75" customHeight="1">
      <c r="J792" s="438"/>
    </row>
    <row r="793" ht="15.75" customHeight="1">
      <c r="J793" s="438"/>
    </row>
    <row r="794" ht="15.75" customHeight="1">
      <c r="J794" s="438"/>
    </row>
    <row r="795" ht="15.75" customHeight="1">
      <c r="J795" s="438"/>
    </row>
    <row r="796" ht="15.75" customHeight="1">
      <c r="J796" s="438"/>
    </row>
    <row r="797" ht="15.75" customHeight="1">
      <c r="J797" s="438"/>
    </row>
    <row r="798" ht="15.75" customHeight="1">
      <c r="J798" s="438"/>
    </row>
    <row r="799" ht="15.75" customHeight="1">
      <c r="J799" s="438"/>
    </row>
    <row r="800" ht="15.75" customHeight="1">
      <c r="J800" s="438"/>
    </row>
    <row r="801" ht="15.75" customHeight="1">
      <c r="J801" s="438"/>
    </row>
    <row r="802" ht="15.75" customHeight="1">
      <c r="J802" s="438"/>
    </row>
    <row r="803" ht="15.75" customHeight="1">
      <c r="J803" s="438"/>
    </row>
    <row r="804" ht="15.75" customHeight="1">
      <c r="J804" s="438"/>
    </row>
    <row r="805" ht="15.75" customHeight="1">
      <c r="J805" s="438"/>
    </row>
    <row r="806" ht="15.75" customHeight="1">
      <c r="J806" s="438"/>
    </row>
    <row r="807" ht="15.75" customHeight="1">
      <c r="J807" s="438"/>
    </row>
    <row r="808" ht="15.75" customHeight="1">
      <c r="J808" s="438"/>
    </row>
    <row r="809" ht="15.75" customHeight="1">
      <c r="J809" s="438"/>
    </row>
    <row r="810" ht="15.75" customHeight="1">
      <c r="J810" s="438"/>
    </row>
    <row r="811" ht="15.75" customHeight="1">
      <c r="J811" s="438"/>
    </row>
    <row r="812" ht="15.75" customHeight="1">
      <c r="J812" s="438"/>
    </row>
    <row r="813" ht="15.75" customHeight="1">
      <c r="J813" s="438"/>
    </row>
    <row r="814" ht="15.75" customHeight="1">
      <c r="J814" s="438"/>
    </row>
    <row r="815" ht="15.75" customHeight="1">
      <c r="J815" s="438"/>
    </row>
    <row r="816" ht="15.75" customHeight="1">
      <c r="J816" s="438"/>
    </row>
    <row r="817" ht="15.75" customHeight="1">
      <c r="J817" s="438"/>
    </row>
    <row r="818" ht="15.75" customHeight="1">
      <c r="J818" s="438"/>
    </row>
    <row r="819" ht="15.75" customHeight="1">
      <c r="J819" s="438"/>
    </row>
    <row r="820" ht="15.75" customHeight="1">
      <c r="J820" s="438"/>
    </row>
    <row r="821" ht="15.75" customHeight="1">
      <c r="J821" s="438"/>
    </row>
    <row r="822" ht="15.75" customHeight="1">
      <c r="J822" s="438"/>
    </row>
    <row r="823" ht="15.75" customHeight="1">
      <c r="J823" s="438"/>
    </row>
    <row r="824" ht="15.75" customHeight="1">
      <c r="J824" s="438"/>
    </row>
    <row r="825" ht="15.75" customHeight="1">
      <c r="J825" s="438"/>
    </row>
    <row r="826" ht="15.75" customHeight="1">
      <c r="J826" s="438"/>
    </row>
    <row r="827" ht="15.75" customHeight="1">
      <c r="J827" s="438"/>
    </row>
    <row r="828" ht="15.75" customHeight="1">
      <c r="J828" s="438"/>
    </row>
    <row r="829" ht="15.75" customHeight="1">
      <c r="J829" s="438"/>
    </row>
    <row r="830" ht="15.75" customHeight="1">
      <c r="J830" s="438"/>
    </row>
    <row r="831" ht="15.75" customHeight="1">
      <c r="J831" s="438"/>
    </row>
    <row r="832" ht="15.75" customHeight="1">
      <c r="J832" s="438"/>
    </row>
    <row r="833" ht="15.75" customHeight="1">
      <c r="J833" s="438"/>
    </row>
    <row r="834" ht="15.75" customHeight="1">
      <c r="J834" s="438"/>
    </row>
    <row r="835" ht="15.75" customHeight="1">
      <c r="J835" s="438"/>
    </row>
    <row r="836" ht="15.75" customHeight="1">
      <c r="J836" s="438"/>
    </row>
    <row r="837" ht="15.75" customHeight="1">
      <c r="J837" s="438"/>
    </row>
    <row r="838" ht="15.75" customHeight="1">
      <c r="J838" s="438"/>
    </row>
    <row r="839" ht="15.75" customHeight="1">
      <c r="J839" s="438"/>
    </row>
    <row r="840" ht="15.75" customHeight="1">
      <c r="J840" s="438"/>
    </row>
    <row r="841" ht="15.75" customHeight="1">
      <c r="J841" s="438"/>
    </row>
    <row r="842" ht="15.75" customHeight="1">
      <c r="J842" s="438"/>
    </row>
    <row r="843" ht="15.75" customHeight="1">
      <c r="J843" s="438"/>
    </row>
    <row r="844" ht="15.75" customHeight="1">
      <c r="J844" s="438"/>
    </row>
    <row r="845" ht="15.75" customHeight="1">
      <c r="J845" s="438"/>
    </row>
    <row r="846" ht="15.75" customHeight="1">
      <c r="J846" s="438"/>
    </row>
    <row r="847" ht="15.75" customHeight="1">
      <c r="J847" s="438"/>
    </row>
    <row r="848" ht="15.75" customHeight="1">
      <c r="J848" s="438"/>
    </row>
    <row r="849" ht="15.75" customHeight="1">
      <c r="J849" s="438"/>
    </row>
    <row r="850" ht="15.75" customHeight="1">
      <c r="J850" s="438"/>
    </row>
    <row r="851" ht="15.75" customHeight="1">
      <c r="J851" s="438"/>
    </row>
    <row r="852" ht="15.75" customHeight="1">
      <c r="J852" s="438"/>
    </row>
    <row r="853" ht="15.75" customHeight="1">
      <c r="J853" s="438"/>
    </row>
    <row r="854" ht="15.75" customHeight="1">
      <c r="J854" s="438"/>
    </row>
    <row r="855" ht="15.75" customHeight="1">
      <c r="J855" s="438"/>
    </row>
    <row r="856" ht="15.75" customHeight="1">
      <c r="J856" s="438"/>
    </row>
    <row r="857" ht="15.75" customHeight="1">
      <c r="J857" s="438"/>
    </row>
    <row r="858" ht="15.75" customHeight="1">
      <c r="J858" s="438"/>
    </row>
    <row r="859" ht="15.75" customHeight="1">
      <c r="J859" s="438"/>
    </row>
    <row r="860" ht="15.75" customHeight="1">
      <c r="J860" s="438"/>
    </row>
    <row r="861" ht="15.75" customHeight="1">
      <c r="J861" s="438"/>
    </row>
    <row r="862" ht="15.75" customHeight="1">
      <c r="J862" s="438"/>
    </row>
    <row r="863" ht="15.75" customHeight="1">
      <c r="J863" s="438"/>
    </row>
    <row r="864" ht="15.75" customHeight="1">
      <c r="J864" s="438"/>
    </row>
    <row r="865" ht="15.75" customHeight="1">
      <c r="J865" s="438"/>
    </row>
    <row r="866" ht="15.75" customHeight="1">
      <c r="J866" s="438"/>
    </row>
    <row r="867" ht="15.75" customHeight="1">
      <c r="J867" s="438"/>
    </row>
    <row r="868" ht="15.75" customHeight="1">
      <c r="J868" s="438"/>
    </row>
    <row r="869" ht="15.75" customHeight="1">
      <c r="J869" s="438"/>
    </row>
    <row r="870" ht="15.75" customHeight="1">
      <c r="J870" s="438"/>
    </row>
    <row r="871" ht="15.75" customHeight="1">
      <c r="J871" s="438"/>
    </row>
    <row r="872" ht="15.75" customHeight="1">
      <c r="J872" s="438"/>
    </row>
    <row r="873" ht="15.75" customHeight="1">
      <c r="J873" s="438"/>
    </row>
    <row r="874" ht="15.75" customHeight="1">
      <c r="J874" s="438"/>
    </row>
    <row r="875" ht="15.75" customHeight="1">
      <c r="J875" s="438"/>
    </row>
    <row r="876" ht="15.75" customHeight="1">
      <c r="J876" s="438"/>
    </row>
    <row r="877" ht="15.75" customHeight="1">
      <c r="J877" s="438"/>
    </row>
    <row r="878" ht="15.75" customHeight="1">
      <c r="J878" s="438"/>
    </row>
    <row r="879" ht="15.75" customHeight="1">
      <c r="J879" s="438"/>
    </row>
    <row r="880" ht="15.75" customHeight="1">
      <c r="J880" s="438"/>
    </row>
    <row r="881" ht="15.75" customHeight="1">
      <c r="J881" s="438"/>
    </row>
    <row r="882" ht="15.75" customHeight="1">
      <c r="J882" s="438"/>
    </row>
    <row r="883" ht="15.75" customHeight="1">
      <c r="J883" s="438"/>
    </row>
    <row r="884" ht="15.75" customHeight="1">
      <c r="J884" s="438"/>
    </row>
    <row r="885" ht="15.75" customHeight="1">
      <c r="J885" s="438"/>
    </row>
    <row r="886" ht="15.75" customHeight="1">
      <c r="J886" s="438"/>
    </row>
    <row r="887" ht="15.75" customHeight="1">
      <c r="J887" s="438"/>
    </row>
    <row r="888" ht="15.75" customHeight="1">
      <c r="J888" s="438"/>
    </row>
    <row r="889" ht="15.75" customHeight="1">
      <c r="J889" s="438"/>
    </row>
    <row r="890" ht="15.75" customHeight="1">
      <c r="J890" s="438"/>
    </row>
    <row r="891" ht="15.75" customHeight="1">
      <c r="J891" s="438"/>
    </row>
    <row r="892" ht="15.75" customHeight="1">
      <c r="J892" s="438"/>
    </row>
    <row r="893" ht="15.75" customHeight="1">
      <c r="J893" s="438"/>
    </row>
    <row r="894" ht="15.75" customHeight="1">
      <c r="J894" s="438"/>
    </row>
    <row r="895" ht="15.75" customHeight="1">
      <c r="J895" s="438"/>
    </row>
    <row r="896" ht="15.75" customHeight="1">
      <c r="J896" s="438"/>
    </row>
    <row r="897" ht="15.75" customHeight="1">
      <c r="J897" s="438"/>
    </row>
    <row r="898" ht="15.75" customHeight="1">
      <c r="J898" s="438"/>
    </row>
    <row r="899" ht="15.75" customHeight="1">
      <c r="J899" s="438"/>
    </row>
    <row r="900" ht="15.75" customHeight="1">
      <c r="J900" s="438"/>
    </row>
    <row r="901" ht="15.75" customHeight="1">
      <c r="J901" s="438"/>
    </row>
    <row r="902" ht="15.75" customHeight="1">
      <c r="J902" s="438"/>
    </row>
    <row r="903" ht="15.75" customHeight="1">
      <c r="J903" s="438"/>
    </row>
    <row r="904" ht="15.75" customHeight="1">
      <c r="J904" s="438"/>
    </row>
    <row r="905" ht="15.75" customHeight="1">
      <c r="J905" s="438"/>
    </row>
    <row r="906" ht="15.75" customHeight="1">
      <c r="J906" s="438"/>
    </row>
    <row r="907" ht="15.75" customHeight="1">
      <c r="J907" s="438"/>
    </row>
    <row r="908" ht="15.75" customHeight="1">
      <c r="J908" s="438"/>
    </row>
    <row r="909" ht="15.75" customHeight="1">
      <c r="J909" s="438"/>
    </row>
    <row r="910" ht="15.75" customHeight="1">
      <c r="J910" s="438"/>
    </row>
    <row r="911" ht="15.75" customHeight="1">
      <c r="J911" s="438"/>
    </row>
    <row r="912" ht="15.75" customHeight="1">
      <c r="J912" s="438"/>
    </row>
    <row r="913" ht="15.75" customHeight="1">
      <c r="J913" s="438"/>
    </row>
    <row r="914" ht="15.75" customHeight="1">
      <c r="J914" s="438"/>
    </row>
    <row r="915" ht="15.75" customHeight="1">
      <c r="J915" s="438"/>
    </row>
    <row r="916" ht="15.75" customHeight="1">
      <c r="J916" s="438"/>
    </row>
    <row r="917" ht="15.75" customHeight="1">
      <c r="J917" s="438"/>
    </row>
    <row r="918" ht="15.75" customHeight="1">
      <c r="J918" s="438"/>
    </row>
    <row r="919" ht="15.75" customHeight="1">
      <c r="J919" s="438"/>
    </row>
    <row r="920" ht="15.75" customHeight="1">
      <c r="J920" s="438"/>
    </row>
    <row r="921" ht="15.75" customHeight="1">
      <c r="J921" s="438"/>
    </row>
    <row r="922" ht="15.75" customHeight="1">
      <c r="J922" s="438"/>
    </row>
    <row r="923" ht="15.75" customHeight="1">
      <c r="J923" s="438"/>
    </row>
    <row r="924" ht="15.75" customHeight="1">
      <c r="J924" s="438"/>
    </row>
    <row r="925" ht="15.75" customHeight="1">
      <c r="J925" s="438"/>
    </row>
    <row r="926" ht="15.75" customHeight="1">
      <c r="J926" s="438"/>
    </row>
    <row r="927" ht="15.75" customHeight="1">
      <c r="J927" s="438"/>
    </row>
    <row r="928" ht="15.75" customHeight="1">
      <c r="J928" s="438"/>
    </row>
    <row r="929" ht="15.75" customHeight="1">
      <c r="J929" s="438"/>
    </row>
    <row r="930" ht="15.75" customHeight="1">
      <c r="J930" s="438"/>
    </row>
    <row r="931" ht="15.75" customHeight="1">
      <c r="J931" s="438"/>
    </row>
    <row r="932" ht="15.75" customHeight="1">
      <c r="J932" s="438"/>
    </row>
    <row r="933" ht="15.75" customHeight="1">
      <c r="J933" s="438"/>
    </row>
    <row r="934" ht="15.75" customHeight="1">
      <c r="J934" s="438"/>
    </row>
    <row r="935" ht="15.75" customHeight="1">
      <c r="J935" s="438"/>
    </row>
    <row r="936" ht="15.75" customHeight="1">
      <c r="J936" s="438"/>
    </row>
    <row r="937" ht="15.75" customHeight="1">
      <c r="J937" s="438"/>
    </row>
    <row r="938" ht="15.75" customHeight="1">
      <c r="J938" s="438"/>
    </row>
    <row r="939" ht="15.75" customHeight="1">
      <c r="J939" s="438"/>
    </row>
    <row r="940" ht="15.75" customHeight="1">
      <c r="J940" s="438"/>
    </row>
    <row r="941" ht="15.75" customHeight="1">
      <c r="J941" s="438"/>
    </row>
    <row r="942" ht="15.75" customHeight="1">
      <c r="J942" s="438"/>
    </row>
    <row r="943" ht="15.75" customHeight="1">
      <c r="J943" s="438"/>
    </row>
    <row r="944" ht="15.75" customHeight="1">
      <c r="J944" s="438"/>
    </row>
    <row r="945" ht="15.75" customHeight="1">
      <c r="J945" s="438"/>
    </row>
    <row r="946" ht="15.75" customHeight="1">
      <c r="J946" s="438"/>
    </row>
    <row r="947" ht="15.75" customHeight="1">
      <c r="J947" s="438"/>
    </row>
    <row r="948" ht="15.75" customHeight="1">
      <c r="J948" s="438"/>
    </row>
    <row r="949" ht="15.75" customHeight="1">
      <c r="J949" s="438"/>
    </row>
    <row r="950" ht="15.75" customHeight="1">
      <c r="J950" s="438"/>
    </row>
    <row r="951" ht="15.75" customHeight="1">
      <c r="J951" s="438"/>
    </row>
    <row r="952" ht="15.75" customHeight="1">
      <c r="J952" s="438"/>
    </row>
    <row r="953" ht="15.75" customHeight="1">
      <c r="J953" s="438"/>
    </row>
    <row r="954" ht="15.75" customHeight="1">
      <c r="J954" s="438"/>
    </row>
    <row r="955" ht="15.75" customHeight="1">
      <c r="J955" s="438"/>
    </row>
    <row r="956" ht="15.75" customHeight="1">
      <c r="J956" s="438"/>
    </row>
    <row r="957" ht="15.75" customHeight="1">
      <c r="J957" s="438"/>
    </row>
    <row r="958" ht="15.75" customHeight="1">
      <c r="J958" s="438"/>
    </row>
    <row r="959" ht="15.75" customHeight="1">
      <c r="J959" s="438"/>
    </row>
    <row r="960" ht="15.75" customHeight="1">
      <c r="J960" s="438"/>
    </row>
    <row r="961" ht="15.75" customHeight="1">
      <c r="J961" s="438"/>
    </row>
    <row r="962" ht="15.75" customHeight="1">
      <c r="J962" s="438"/>
    </row>
    <row r="963" ht="15.75" customHeight="1">
      <c r="J963" s="438"/>
    </row>
    <row r="964" ht="15.75" customHeight="1">
      <c r="J964" s="438"/>
    </row>
    <row r="965" ht="15.75" customHeight="1">
      <c r="J965" s="438"/>
    </row>
    <row r="966" ht="15.75" customHeight="1">
      <c r="J966" s="438"/>
    </row>
    <row r="967" ht="15.75" customHeight="1">
      <c r="J967" s="438"/>
    </row>
    <row r="968" ht="15.75" customHeight="1">
      <c r="J968" s="438"/>
    </row>
    <row r="969" ht="15.75" customHeight="1">
      <c r="J969" s="438"/>
    </row>
    <row r="970" ht="15.75" customHeight="1">
      <c r="J970" s="438"/>
    </row>
    <row r="971" ht="15.75" customHeight="1">
      <c r="J971" s="438"/>
    </row>
    <row r="972" ht="15.75" customHeight="1">
      <c r="J972" s="438"/>
    </row>
    <row r="973" ht="15.75" customHeight="1">
      <c r="J973" s="438"/>
    </row>
    <row r="974" ht="15.75" customHeight="1">
      <c r="J974" s="438"/>
    </row>
    <row r="975" ht="15.75" customHeight="1">
      <c r="J975" s="438"/>
    </row>
    <row r="976" ht="15.75" customHeight="1">
      <c r="J976" s="438"/>
    </row>
    <row r="977" ht="15.75" customHeight="1">
      <c r="J977" s="438"/>
    </row>
    <row r="978" ht="15.75" customHeight="1">
      <c r="J978" s="438"/>
    </row>
    <row r="979" ht="15.75" customHeight="1">
      <c r="J979" s="438"/>
    </row>
    <row r="980" ht="15.75" customHeight="1">
      <c r="J980" s="438"/>
    </row>
    <row r="981" ht="15.75" customHeight="1">
      <c r="J981" s="438"/>
    </row>
    <row r="982" ht="15.75" customHeight="1">
      <c r="J982" s="438"/>
    </row>
    <row r="983" ht="15.75" customHeight="1">
      <c r="J983" s="438"/>
    </row>
    <row r="984" ht="15.75" customHeight="1">
      <c r="J984" s="438"/>
    </row>
    <row r="985" ht="15.75" customHeight="1">
      <c r="J985" s="438"/>
    </row>
    <row r="986" ht="15.75" customHeight="1">
      <c r="J986" s="438"/>
    </row>
    <row r="987" ht="15.75" customHeight="1">
      <c r="J987" s="438"/>
    </row>
    <row r="988" ht="15.75" customHeight="1">
      <c r="J988" s="438"/>
    </row>
    <row r="989" ht="15.75" customHeight="1">
      <c r="J989" s="438"/>
    </row>
    <row r="990" ht="15.75" customHeight="1">
      <c r="J990" s="438"/>
    </row>
    <row r="991" ht="15.75" customHeight="1">
      <c r="J991" s="438"/>
    </row>
    <row r="992" ht="15.75" customHeight="1">
      <c r="J992" s="438"/>
    </row>
    <row r="993" ht="15.75" customHeight="1">
      <c r="J993" s="438"/>
    </row>
    <row r="994" ht="15.75" customHeight="1">
      <c r="J994" s="438"/>
    </row>
    <row r="995" ht="15.75" customHeight="1">
      <c r="J995" s="438"/>
    </row>
    <row r="996" ht="15.75" customHeight="1">
      <c r="J996" s="438"/>
    </row>
    <row r="997" ht="15.75" customHeight="1">
      <c r="J997" s="438"/>
    </row>
    <row r="998" ht="15.75" customHeight="1">
      <c r="J998" s="438"/>
    </row>
    <row r="999" ht="15.75" customHeight="1">
      <c r="J999" s="438"/>
    </row>
    <row r="1000" ht="15.75" customHeight="1">
      <c r="J1000" s="438"/>
    </row>
  </sheetData>
  <mergeCells count="2">
    <mergeCell ref="K29:O29"/>
    <mergeCell ref="I30:I3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8.5"/>
    <col customWidth="1" min="4" max="4" width="36.63"/>
    <col customWidth="1" min="5" max="5" width="10.63"/>
    <col customWidth="1" min="6" max="6" width="14.88"/>
    <col customWidth="1" min="7" max="8" width="10.63"/>
    <col customWidth="1" min="9" max="9" width="19.13"/>
    <col customWidth="1" min="10" max="26" width="10.63"/>
  </cols>
  <sheetData>
    <row r="1" ht="12.75" customHeight="1"/>
    <row r="2" ht="12.75" customHeight="1">
      <c r="B2" s="487" t="s">
        <v>453</v>
      </c>
      <c r="C2" s="488" t="s">
        <v>383</v>
      </c>
      <c r="D2" s="488" t="s">
        <v>454</v>
      </c>
      <c r="E2" s="488" t="s">
        <v>382</v>
      </c>
      <c r="F2" s="488" t="s">
        <v>455</v>
      </c>
      <c r="G2" s="488" t="s">
        <v>456</v>
      </c>
      <c r="H2" s="488" t="s">
        <v>457</v>
      </c>
      <c r="I2" s="489" t="s">
        <v>458</v>
      </c>
    </row>
    <row r="3" ht="12.75" customHeight="1">
      <c r="B3" s="490" t="s">
        <v>459</v>
      </c>
      <c r="C3" s="300" t="s">
        <v>405</v>
      </c>
      <c r="D3" s="300" t="s">
        <v>460</v>
      </c>
      <c r="E3" s="300" t="s">
        <v>404</v>
      </c>
      <c r="F3" s="491">
        <v>8.2</v>
      </c>
      <c r="G3" s="491" t="s">
        <v>461</v>
      </c>
      <c r="H3" s="491">
        <v>12.3</v>
      </c>
      <c r="I3" s="492">
        <f>18121</f>
        <v>18121</v>
      </c>
    </row>
    <row r="4" ht="12.75" customHeight="1">
      <c r="B4" s="493" t="s">
        <v>462</v>
      </c>
      <c r="C4" s="153" t="s">
        <v>392</v>
      </c>
      <c r="D4" s="153" t="s">
        <v>390</v>
      </c>
      <c r="E4" s="153" t="s">
        <v>391</v>
      </c>
      <c r="F4" s="494">
        <v>12.8</v>
      </c>
      <c r="G4" s="494" t="s">
        <v>463</v>
      </c>
      <c r="H4" s="494">
        <v>21.7</v>
      </c>
      <c r="I4" s="495">
        <v>29925.0</v>
      </c>
    </row>
    <row r="5" ht="12.75" customHeight="1">
      <c r="B5" s="493" t="s">
        <v>464</v>
      </c>
      <c r="C5" s="153" t="s">
        <v>396</v>
      </c>
      <c r="D5" s="153" t="s">
        <v>394</v>
      </c>
      <c r="E5" s="153" t="s">
        <v>395</v>
      </c>
      <c r="F5" s="494">
        <v>56.8</v>
      </c>
      <c r="G5" s="494" t="s">
        <v>465</v>
      </c>
      <c r="H5" s="494" t="s">
        <v>176</v>
      </c>
      <c r="I5" s="495">
        <v>7330.0</v>
      </c>
    </row>
    <row r="6" ht="12.75" customHeight="1">
      <c r="B6" s="493" t="s">
        <v>466</v>
      </c>
      <c r="C6" s="153" t="str">
        <f>C7</f>
        <v>Canadá</v>
      </c>
      <c r="D6" s="153" t="s">
        <v>398</v>
      </c>
      <c r="E6" s="153" t="s">
        <v>399</v>
      </c>
      <c r="F6" s="494">
        <v>5.6</v>
      </c>
      <c r="G6" s="494" t="s">
        <v>467</v>
      </c>
      <c r="H6" s="494">
        <v>13.3</v>
      </c>
      <c r="I6" s="495">
        <v>16862.0</v>
      </c>
    </row>
    <row r="7" ht="12.75" customHeight="1">
      <c r="B7" s="493" t="s">
        <v>468</v>
      </c>
      <c r="C7" s="153" t="s">
        <v>396</v>
      </c>
      <c r="D7" s="153" t="s">
        <v>469</v>
      </c>
      <c r="E7" s="153" t="s">
        <v>401</v>
      </c>
      <c r="F7" s="494">
        <v>4.1</v>
      </c>
      <c r="G7" s="494" t="s">
        <v>470</v>
      </c>
      <c r="H7" s="494">
        <v>14.1</v>
      </c>
      <c r="I7" s="495">
        <v>8106.0</v>
      </c>
    </row>
    <row r="8" ht="12.75" customHeight="1">
      <c r="B8" s="496" t="s">
        <v>471</v>
      </c>
      <c r="C8" s="260" t="s">
        <v>409</v>
      </c>
      <c r="D8" s="260" t="s">
        <v>407</v>
      </c>
      <c r="E8" s="260" t="s">
        <v>408</v>
      </c>
      <c r="F8" s="497">
        <v>6.4</v>
      </c>
      <c r="G8" s="497" t="s">
        <v>472</v>
      </c>
      <c r="H8" s="497">
        <v>16.7</v>
      </c>
      <c r="I8" s="498">
        <v>51770.0</v>
      </c>
    </row>
    <row r="9" ht="12.75" customHeight="1">
      <c r="B9" s="78" t="s">
        <v>473</v>
      </c>
    </row>
    <row r="10" ht="12.75" customHeight="1"/>
    <row r="11" ht="12.75" customHeight="1">
      <c r="E11" s="154" t="s">
        <v>413</v>
      </c>
      <c r="F11" s="499">
        <f>MEDIAN(F3:F8)</f>
        <v>7.3</v>
      </c>
      <c r="G11" s="472"/>
      <c r="H11" s="499">
        <f>MEDIAN(H3:H8)</f>
        <v>14.1</v>
      </c>
    </row>
    <row r="12" ht="12.75" customHeight="1">
      <c r="E12" s="154" t="s">
        <v>412</v>
      </c>
      <c r="F12" s="499">
        <f>AVERAGE(F3:F8)</f>
        <v>15.65</v>
      </c>
      <c r="G12" s="472"/>
      <c r="H12" s="499">
        <f>AVERAGE(H3:H8)</f>
        <v>15.62</v>
      </c>
    </row>
    <row r="13" ht="12.75" customHeight="1"/>
    <row r="14" ht="12.75" customHeight="1"/>
    <row r="15" ht="12.75" customHeight="1"/>
    <row r="16" ht="12.75" customHeight="1">
      <c r="D16" s="78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6" width="10.63"/>
  </cols>
  <sheetData>
    <row r="1" ht="12.75" customHeight="1"/>
    <row r="2" ht="12.75" customHeight="1">
      <c r="B2" s="444" t="s">
        <v>375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</row>
    <row r="3" ht="12.75" customHeight="1">
      <c r="B3" s="444" t="s">
        <v>474</v>
      </c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  <c r="O3" s="441"/>
    </row>
    <row r="4" ht="12.75" customHeight="1">
      <c r="B4" s="444" t="s">
        <v>475</v>
      </c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</row>
    <row r="5" ht="12.75" customHeight="1"/>
    <row r="6" ht="12.75" customHeight="1">
      <c r="E6" s="500" t="s">
        <v>476</v>
      </c>
      <c r="F6" s="33"/>
      <c r="G6" s="33"/>
      <c r="H6" s="34"/>
      <c r="I6" s="501" t="s">
        <v>477</v>
      </c>
      <c r="K6" s="500" t="s">
        <v>478</v>
      </c>
      <c r="L6" s="33"/>
      <c r="M6" s="33"/>
      <c r="N6" s="33"/>
      <c r="O6" s="34"/>
      <c r="P6" s="501" t="s">
        <v>477</v>
      </c>
    </row>
    <row r="7" ht="12.75" customHeight="1">
      <c r="B7" s="259"/>
      <c r="C7" s="259"/>
      <c r="D7" s="259"/>
      <c r="E7" s="502">
        <v>2020.0</v>
      </c>
      <c r="F7" s="502">
        <v>2021.0</v>
      </c>
      <c r="G7" s="502">
        <v>2022.0</v>
      </c>
      <c r="H7" s="502">
        <v>2023.0</v>
      </c>
      <c r="I7" s="503" t="s">
        <v>479</v>
      </c>
      <c r="J7" s="504">
        <v>2024.0</v>
      </c>
      <c r="K7" s="505">
        <v>2025.0</v>
      </c>
      <c r="L7" s="505">
        <v>2026.0</v>
      </c>
      <c r="M7" s="505">
        <v>2027.0</v>
      </c>
      <c r="N7" s="505">
        <v>2028.0</v>
      </c>
      <c r="O7" s="505">
        <v>2029.0</v>
      </c>
      <c r="P7" s="503" t="s">
        <v>480</v>
      </c>
    </row>
    <row r="8" ht="12.75" customHeight="1">
      <c r="B8" s="78" t="s">
        <v>35</v>
      </c>
      <c r="E8" s="506">
        <f>Buildup!F6</f>
        <v>535.469</v>
      </c>
      <c r="F8" s="506">
        <f>Buildup!G6</f>
        <v>937.399</v>
      </c>
      <c r="G8" s="506">
        <f>Buildup!H6</f>
        <v>951.266</v>
      </c>
      <c r="H8" s="506">
        <f>Buildup!I6</f>
        <v>883.086</v>
      </c>
      <c r="I8" s="212">
        <f>(H8/E8)^(1/(H$7-E$7))-1</f>
        <v>0.1814705179</v>
      </c>
      <c r="J8" s="507">
        <f>Buildup!J6</f>
        <v>960.521</v>
      </c>
      <c r="K8" s="506">
        <f>Buildup!K6</f>
        <v>922.2750116</v>
      </c>
      <c r="L8" s="506">
        <f>Buildup!L6</f>
        <v>1065.619494</v>
      </c>
      <c r="M8" s="506">
        <f>Buildup!M6</f>
        <v>1182.831605</v>
      </c>
      <c r="N8" s="506">
        <f>Buildup!N6</f>
        <v>1182.831605</v>
      </c>
      <c r="O8" s="506">
        <f>Buildup!O6</f>
        <v>1221.331605</v>
      </c>
      <c r="P8" s="212">
        <f>(O8/J8)^(1/(O$7-J$7))-1</f>
        <v>0.0492170667</v>
      </c>
    </row>
    <row r="9" ht="12.75" customHeight="1">
      <c r="B9" s="17" t="s">
        <v>481</v>
      </c>
      <c r="E9" s="224">
        <f>'Supuestos '!G15</f>
        <v>-0.2798751442</v>
      </c>
      <c r="F9" s="224">
        <f>'Supuestos '!H15</f>
        <v>0.750613014</v>
      </c>
      <c r="G9" s="224">
        <f>'Supuestos '!I15</f>
        <v>0.01479306037</v>
      </c>
      <c r="H9" s="224">
        <f>'Supuestos '!J15</f>
        <v>-0.07167290747</v>
      </c>
      <c r="I9" s="212"/>
      <c r="J9" s="508">
        <f>'Supuestos '!K15</f>
        <v>0.08768681646</v>
      </c>
      <c r="K9" s="224">
        <f>'Supuestos '!L15</f>
        <v>-0.0398179617</v>
      </c>
      <c r="L9" s="224">
        <f>'Supuestos '!M15</f>
        <v>0.1554248798</v>
      </c>
      <c r="M9" s="224">
        <f>'Supuestos '!N15</f>
        <v>0.1099943377</v>
      </c>
      <c r="N9" s="224">
        <f>'Supuestos '!O15</f>
        <v>0</v>
      </c>
      <c r="O9" s="224">
        <f>'Supuestos '!P15</f>
        <v>0.03254901191</v>
      </c>
      <c r="P9" s="212"/>
    </row>
    <row r="10" ht="12.75" customHeight="1">
      <c r="B10" s="78" t="s">
        <v>49</v>
      </c>
      <c r="E10" s="506">
        <f>Buildup!F21</f>
        <v>70.413</v>
      </c>
      <c r="F10" s="506">
        <f>Buildup!G21</f>
        <v>376.993</v>
      </c>
      <c r="G10" s="506">
        <f>Buildup!H21</f>
        <v>134.797</v>
      </c>
      <c r="H10" s="506">
        <f>Buildup!I21</f>
        <v>227.696</v>
      </c>
      <c r="I10" s="212">
        <f>(H10/E10)^(1/(H$7-E$7))-1</f>
        <v>0.4787707479</v>
      </c>
      <c r="J10" s="507">
        <f>Buildup!J21</f>
        <v>485.474</v>
      </c>
      <c r="K10" s="506">
        <f>Buildup!K21</f>
        <v>365.721076</v>
      </c>
      <c r="L10" s="506">
        <f>Buildup!L21</f>
        <v>420.3321737</v>
      </c>
      <c r="M10" s="506">
        <f>Buildup!M21</f>
        <v>468.3755799</v>
      </c>
      <c r="N10" s="506">
        <f>Buildup!N21</f>
        <v>468.0462421</v>
      </c>
      <c r="O10" s="506">
        <f>Buildup!O21</f>
        <v>484.2684775</v>
      </c>
      <c r="P10" s="212">
        <f>(O10/J10)^(1/(O$7-J$7))-1</f>
        <v>-0.0004971313401</v>
      </c>
    </row>
    <row r="11" ht="12.75" customHeight="1">
      <c r="B11" s="17" t="s">
        <v>482</v>
      </c>
      <c r="E11" s="224">
        <f t="shared" ref="E11:H11" si="1">E10/E8</f>
        <v>0.1314978085</v>
      </c>
      <c r="F11" s="224">
        <f t="shared" si="1"/>
        <v>0.4021691937</v>
      </c>
      <c r="G11" s="224">
        <f t="shared" si="1"/>
        <v>0.1417027414</v>
      </c>
      <c r="H11" s="224">
        <f t="shared" si="1"/>
        <v>0.2578412522</v>
      </c>
      <c r="I11" s="212"/>
      <c r="J11" s="508">
        <f t="shared" ref="J11:O11" si="2">J10/J8</f>
        <v>0.5054277835</v>
      </c>
      <c r="K11" s="224">
        <f t="shared" si="2"/>
        <v>0.3965423235</v>
      </c>
      <c r="L11" s="224">
        <f t="shared" si="2"/>
        <v>0.3944486525</v>
      </c>
      <c r="M11" s="224">
        <f t="shared" si="2"/>
        <v>0.3959782423</v>
      </c>
      <c r="N11" s="224">
        <f t="shared" si="2"/>
        <v>0.3956998106</v>
      </c>
      <c r="O11" s="224">
        <f t="shared" si="2"/>
        <v>0.396508594</v>
      </c>
      <c r="P11" s="212"/>
    </row>
    <row r="12" ht="12.75" customHeight="1">
      <c r="B12" s="78" t="s">
        <v>483</v>
      </c>
      <c r="E12" s="506">
        <f>Buildup!F20</f>
        <v>165.496</v>
      </c>
      <c r="F12" s="506">
        <f>Buildup!G20</f>
        <v>224.794</v>
      </c>
      <c r="G12" s="506">
        <f>Buildup!H20</f>
        <v>194.238</v>
      </c>
      <c r="H12" s="506">
        <f>Buildup!I20</f>
        <v>207.115</v>
      </c>
      <c r="I12" s="212"/>
      <c r="J12" s="507">
        <f>Buildup!J20</f>
        <v>194.964</v>
      </c>
      <c r="K12" s="506">
        <f>Buildup!K20</f>
        <v>70.81064696</v>
      </c>
      <c r="L12" s="506">
        <f>Buildup!L20</f>
        <v>73.11945135</v>
      </c>
      <c r="M12" s="506">
        <f>Buildup!M20</f>
        <v>82.14670329</v>
      </c>
      <c r="N12" s="506">
        <f>Buildup!N20</f>
        <v>84.33760291</v>
      </c>
      <c r="O12" s="506">
        <f>Buildup!O20</f>
        <v>86.19128854</v>
      </c>
      <c r="P12" s="212"/>
    </row>
    <row r="13" ht="12.75" customHeight="1">
      <c r="B13" s="78" t="s">
        <v>484</v>
      </c>
      <c r="E13" s="194">
        <f t="shared" ref="E13:H13" si="3">E10+E12</f>
        <v>235.909</v>
      </c>
      <c r="F13" s="194">
        <f t="shared" si="3"/>
        <v>601.787</v>
      </c>
      <c r="G13" s="194">
        <f t="shared" si="3"/>
        <v>329.035</v>
      </c>
      <c r="H13" s="194">
        <f t="shared" si="3"/>
        <v>434.811</v>
      </c>
      <c r="I13" s="212">
        <f>(H13/E13)^(1/(H$7-E$7))-1</f>
        <v>0.2260796125</v>
      </c>
      <c r="J13" s="509">
        <f t="shared" ref="J13:O13" si="4">J10+J12</f>
        <v>680.438</v>
      </c>
      <c r="K13" s="194">
        <f t="shared" si="4"/>
        <v>436.531723</v>
      </c>
      <c r="L13" s="194">
        <f t="shared" si="4"/>
        <v>493.451625</v>
      </c>
      <c r="M13" s="194">
        <f t="shared" si="4"/>
        <v>550.5222832</v>
      </c>
      <c r="N13" s="194">
        <f t="shared" si="4"/>
        <v>552.383845</v>
      </c>
      <c r="O13" s="194">
        <f t="shared" si="4"/>
        <v>570.459766</v>
      </c>
      <c r="P13" s="212">
        <f>(O13/J13)^(1/(O$7-J$7))-1</f>
        <v>-0.03464446277</v>
      </c>
    </row>
    <row r="14" ht="12.75" customHeight="1">
      <c r="B14" s="17" t="s">
        <v>485</v>
      </c>
      <c r="E14" s="224">
        <f t="shared" ref="E14:H14" si="5">E13/E8</f>
        <v>0.4405651868</v>
      </c>
      <c r="F14" s="224">
        <f t="shared" si="5"/>
        <v>0.6419752955</v>
      </c>
      <c r="G14" s="224">
        <f t="shared" si="5"/>
        <v>0.3458916854</v>
      </c>
      <c r="H14" s="224">
        <f t="shared" si="5"/>
        <v>0.4923767334</v>
      </c>
      <c r="I14" s="224"/>
      <c r="J14" s="508">
        <f t="shared" ref="J14:O14" si="6">J13/J8</f>
        <v>0.708405126</v>
      </c>
      <c r="K14" s="224">
        <f t="shared" si="6"/>
        <v>0.4733205578</v>
      </c>
      <c r="L14" s="224">
        <f t="shared" si="6"/>
        <v>0.463065501</v>
      </c>
      <c r="M14" s="224">
        <f t="shared" si="6"/>
        <v>0.4654274377</v>
      </c>
      <c r="N14" s="224">
        <f t="shared" si="6"/>
        <v>0.4670012559</v>
      </c>
      <c r="O14" s="224">
        <f t="shared" si="6"/>
        <v>0.4670801638</v>
      </c>
    </row>
    <row r="15" ht="12.75" customHeight="1">
      <c r="B15" s="78" t="s">
        <v>486</v>
      </c>
      <c r="D15" s="510">
        <v>0.295</v>
      </c>
      <c r="E15" s="195">
        <f t="shared" ref="E15:H15" si="7">E13*$D$15</f>
        <v>69.593155</v>
      </c>
      <c r="F15" s="195">
        <f t="shared" si="7"/>
        <v>177.527165</v>
      </c>
      <c r="G15" s="195">
        <f t="shared" si="7"/>
        <v>97.065325</v>
      </c>
      <c r="H15" s="195">
        <f t="shared" si="7"/>
        <v>128.269245</v>
      </c>
      <c r="I15" s="195"/>
      <c r="J15" s="511">
        <f t="shared" ref="J15:O15" si="8">J13*$D$15</f>
        <v>200.72921</v>
      </c>
      <c r="K15" s="195">
        <f t="shared" si="8"/>
        <v>128.7768583</v>
      </c>
      <c r="L15" s="195">
        <f t="shared" si="8"/>
        <v>145.5682294</v>
      </c>
      <c r="M15" s="195">
        <f t="shared" si="8"/>
        <v>162.4040735</v>
      </c>
      <c r="N15" s="195">
        <f t="shared" si="8"/>
        <v>162.9532343</v>
      </c>
      <c r="O15" s="195">
        <f t="shared" si="8"/>
        <v>168.285631</v>
      </c>
    </row>
    <row r="16" ht="12.75" customHeight="1">
      <c r="B16" s="78" t="s">
        <v>487</v>
      </c>
      <c r="E16" s="195">
        <f t="shared" ref="E16:H16" si="9">E12</f>
        <v>165.496</v>
      </c>
      <c r="F16" s="195">
        <f t="shared" si="9"/>
        <v>224.794</v>
      </c>
      <c r="G16" s="195">
        <f t="shared" si="9"/>
        <v>194.238</v>
      </c>
      <c r="H16" s="195">
        <f t="shared" si="9"/>
        <v>207.115</v>
      </c>
      <c r="I16" s="195"/>
      <c r="J16" s="511">
        <f t="shared" ref="J16:O16" si="10">J12</f>
        <v>194.964</v>
      </c>
      <c r="K16" s="195">
        <f t="shared" si="10"/>
        <v>70.81064696</v>
      </c>
      <c r="L16" s="195">
        <f t="shared" si="10"/>
        <v>73.11945135</v>
      </c>
      <c r="M16" s="195">
        <f t="shared" si="10"/>
        <v>82.14670329</v>
      </c>
      <c r="N16" s="195">
        <f t="shared" si="10"/>
        <v>84.33760291</v>
      </c>
      <c r="O16" s="195">
        <f t="shared" si="10"/>
        <v>86.19128854</v>
      </c>
    </row>
    <row r="17" ht="12.75" customHeight="1">
      <c r="B17" s="78" t="s">
        <v>488</v>
      </c>
      <c r="E17" s="506">
        <f>Buildup!F93</f>
        <v>27.591</v>
      </c>
      <c r="F17" s="506">
        <f>Buildup!G93</f>
        <v>-6.835</v>
      </c>
      <c r="G17" s="506">
        <f>Buildup!H93</f>
        <v>39.497</v>
      </c>
      <c r="H17" s="506">
        <f>Buildup!I93</f>
        <v>8.032</v>
      </c>
      <c r="J17" s="507">
        <f>Buildup!J93</f>
        <v>-55.428</v>
      </c>
      <c r="K17" s="506">
        <f>Buildup!K93</f>
        <v>20.64639851</v>
      </c>
      <c r="L17" s="506">
        <f>Buildup!L93</f>
        <v>21.5745895</v>
      </c>
      <c r="M17" s="506">
        <f>Buildup!M93</f>
        <v>17.64144053</v>
      </c>
      <c r="N17" s="506">
        <f>Buildup!N93</f>
        <v>229.1741</v>
      </c>
      <c r="O17" s="506">
        <f>Buildup!O93</f>
        <v>-223.3795156</v>
      </c>
    </row>
    <row r="18" ht="12.75" customHeight="1">
      <c r="B18" s="259" t="s">
        <v>489</v>
      </c>
      <c r="C18" s="259"/>
      <c r="D18" s="259"/>
      <c r="E18" s="512">
        <f>-Capex!K27</f>
        <v>-113.899</v>
      </c>
      <c r="F18" s="512">
        <f>-Capex!L27</f>
        <v>-191.081</v>
      </c>
      <c r="G18" s="512">
        <f>-Capex!M27</f>
        <v>-253.716</v>
      </c>
      <c r="H18" s="512">
        <f>-Capex!N27</f>
        <v>-170.405</v>
      </c>
      <c r="J18" s="513">
        <f>-Capex!O27</f>
        <v>-154.068</v>
      </c>
      <c r="K18" s="512">
        <f>-Capex!P27</f>
        <v>-190.330397</v>
      </c>
      <c r="L18" s="512">
        <f>-Capex!Q27</f>
        <v>-219.9124761</v>
      </c>
      <c r="M18" s="512">
        <f>-Capex!R27</f>
        <v>-244.1016033</v>
      </c>
      <c r="N18" s="512">
        <f>-Capex!S27</f>
        <v>-244.1016033</v>
      </c>
      <c r="O18" s="512">
        <f>-Capex!T27</f>
        <v>-252.0468693</v>
      </c>
    </row>
    <row r="19" ht="12.75" customHeight="1">
      <c r="B19" s="78" t="s">
        <v>490</v>
      </c>
      <c r="E19" s="195">
        <f t="shared" ref="E19:H19" si="11">E13+E15+E16+E17+E18</f>
        <v>384.690155</v>
      </c>
      <c r="F19" s="195">
        <f t="shared" si="11"/>
        <v>806.192165</v>
      </c>
      <c r="G19" s="195">
        <f t="shared" si="11"/>
        <v>406.119325</v>
      </c>
      <c r="H19" s="195">
        <f t="shared" si="11"/>
        <v>607.822245</v>
      </c>
      <c r="I19" s="195"/>
      <c r="J19" s="195">
        <f t="shared" ref="J19:O19" si="12">J13+J15+J16+J17+J18</f>
        <v>866.63521</v>
      </c>
      <c r="K19" s="195">
        <f t="shared" si="12"/>
        <v>466.4352297</v>
      </c>
      <c r="L19" s="195">
        <f t="shared" si="12"/>
        <v>513.8014192</v>
      </c>
      <c r="M19" s="195">
        <f t="shared" si="12"/>
        <v>568.6128972</v>
      </c>
      <c r="N19" s="195">
        <f t="shared" si="12"/>
        <v>784.7471788</v>
      </c>
      <c r="O19" s="195">
        <f t="shared" si="12"/>
        <v>349.5103007</v>
      </c>
    </row>
    <row r="20" ht="12.75" customHeight="1"/>
    <row r="21" ht="12.75" customHeight="1">
      <c r="B21" s="154" t="s">
        <v>491</v>
      </c>
      <c r="D21" s="514">
        <f>Wacc!E28</f>
        <v>0.1138517325</v>
      </c>
    </row>
    <row r="22" ht="12.75" customHeight="1">
      <c r="B22" s="154" t="s">
        <v>492</v>
      </c>
      <c r="K22" s="319">
        <v>0.5</v>
      </c>
      <c r="L22" s="319">
        <f t="shared" ref="L22:O22" si="13">K22+1</f>
        <v>1.5</v>
      </c>
      <c r="M22" s="319">
        <f t="shared" si="13"/>
        <v>2.5</v>
      </c>
      <c r="N22" s="319">
        <f t="shared" si="13"/>
        <v>3.5</v>
      </c>
      <c r="O22" s="319">
        <f t="shared" si="13"/>
        <v>4.5</v>
      </c>
    </row>
    <row r="23" ht="12.75" customHeight="1">
      <c r="B23" s="154" t="s">
        <v>493</v>
      </c>
      <c r="K23" s="335">
        <f t="shared" ref="K23:O23" si="14">1/(1+$D$21)^(K22)</f>
        <v>0.9475154662</v>
      </c>
      <c r="L23" s="335">
        <f t="shared" si="14"/>
        <v>0.8506657023</v>
      </c>
      <c r="M23" s="335">
        <f t="shared" si="14"/>
        <v>0.7637153828</v>
      </c>
      <c r="N23" s="335">
        <f t="shared" si="14"/>
        <v>0.6856526417</v>
      </c>
      <c r="O23" s="335">
        <f t="shared" si="14"/>
        <v>0.61556904</v>
      </c>
    </row>
    <row r="24" ht="12.75" customHeight="1">
      <c r="B24" s="444" t="s">
        <v>494</v>
      </c>
      <c r="C24" s="444"/>
      <c r="D24" s="444"/>
      <c r="E24" s="444"/>
      <c r="F24" s="444"/>
      <c r="G24" s="444"/>
      <c r="H24" s="444"/>
      <c r="I24" s="444"/>
      <c r="J24" s="444"/>
      <c r="K24" s="515">
        <f t="shared" ref="K24:O24" si="15">K23*K19</f>
        <v>441.9545941</v>
      </c>
      <c r="L24" s="515">
        <f t="shared" si="15"/>
        <v>437.0732451</v>
      </c>
      <c r="M24" s="515">
        <f t="shared" si="15"/>
        <v>434.2584165</v>
      </c>
      <c r="N24" s="515">
        <f t="shared" si="15"/>
        <v>538.0639762</v>
      </c>
      <c r="O24" s="515">
        <f t="shared" si="15"/>
        <v>215.1477203</v>
      </c>
    </row>
    <row r="25" ht="12.75" customHeight="1"/>
    <row r="26" ht="12.75" customHeight="1"/>
    <row r="27" ht="12.75" customHeight="1">
      <c r="B27" s="444" t="s">
        <v>495</v>
      </c>
      <c r="C27" s="444"/>
      <c r="D27" s="444"/>
      <c r="E27" s="444"/>
      <c r="G27" s="444" t="s">
        <v>496</v>
      </c>
      <c r="H27" s="444"/>
      <c r="I27" s="444"/>
      <c r="J27" s="444"/>
      <c r="L27" s="444" t="s">
        <v>497</v>
      </c>
      <c r="M27" s="444"/>
      <c r="N27" s="444"/>
      <c r="O27" s="444"/>
    </row>
    <row r="28" ht="12.75" customHeight="1">
      <c r="B28" s="196" t="s">
        <v>498</v>
      </c>
      <c r="E28" s="195">
        <f>SUM(K19:O19)</f>
        <v>2683.107026</v>
      </c>
      <c r="G28" s="154" t="s">
        <v>499</v>
      </c>
      <c r="J28" s="195">
        <f>E38</f>
        <v>3530.472045</v>
      </c>
      <c r="L28" s="154" t="s">
        <v>500</v>
      </c>
      <c r="O28" s="195">
        <f>O19</f>
        <v>349.5103007</v>
      </c>
    </row>
    <row r="29" ht="12.75" customHeight="1">
      <c r="G29" s="154" t="s">
        <v>501</v>
      </c>
      <c r="J29" s="195">
        <f>-(Buildup!J57+Buildup!J67)</f>
        <v>-749.761</v>
      </c>
      <c r="L29" s="154" t="s">
        <v>491</v>
      </c>
      <c r="O29" s="224">
        <f>D21</f>
        <v>0.1138517325</v>
      </c>
    </row>
    <row r="30" ht="12.75" customHeight="1">
      <c r="B30" s="516" t="s">
        <v>502</v>
      </c>
      <c r="C30" s="259"/>
      <c r="D30" s="259"/>
      <c r="E30" s="259"/>
      <c r="G30" s="259" t="s">
        <v>503</v>
      </c>
      <c r="H30" s="259"/>
      <c r="I30" s="259"/>
      <c r="J30" s="277">
        <f>Buildup!J36</f>
        <v>155.834</v>
      </c>
      <c r="L30" s="154" t="s">
        <v>502</v>
      </c>
      <c r="O30" s="230">
        <f>E33</f>
        <v>1452.805433</v>
      </c>
    </row>
    <row r="31" ht="12.75" customHeight="1">
      <c r="B31" s="154" t="s">
        <v>504</v>
      </c>
      <c r="E31" s="195">
        <f>O10</f>
        <v>484.2684775</v>
      </c>
      <c r="G31" s="154" t="s">
        <v>505</v>
      </c>
      <c r="J31" s="517">
        <f>SUM(J28:J30)</f>
        <v>2936.545045</v>
      </c>
    </row>
    <row r="32" ht="12.75" customHeight="1">
      <c r="B32" s="154" t="s">
        <v>506</v>
      </c>
      <c r="E32" s="472">
        <v>3.0</v>
      </c>
      <c r="G32" s="154" t="s">
        <v>507</v>
      </c>
      <c r="J32" s="195">
        <f>3881340000/1000000</f>
        <v>3881.34</v>
      </c>
      <c r="L32" s="154" t="s">
        <v>508</v>
      </c>
      <c r="O32" s="224">
        <v>0.03</v>
      </c>
    </row>
    <row r="33" ht="12.75" customHeight="1">
      <c r="B33" s="196" t="s">
        <v>502</v>
      </c>
      <c r="E33" s="230">
        <f>E31*E32</f>
        <v>1452.805433</v>
      </c>
      <c r="G33" s="154" t="s">
        <v>509</v>
      </c>
      <c r="J33" s="335">
        <f>J31/J32</f>
        <v>0.7565802133</v>
      </c>
    </row>
    <row r="34" ht="12.75" customHeight="1">
      <c r="B34" s="259" t="s">
        <v>493</v>
      </c>
      <c r="C34" s="259"/>
      <c r="D34" s="259"/>
      <c r="E34" s="518">
        <f>1/(1+$D$21)^(5)</f>
        <v>0.583261186</v>
      </c>
      <c r="L34" s="519" t="s">
        <v>510</v>
      </c>
      <c r="M34" s="520"/>
      <c r="N34" s="520"/>
      <c r="O34" s="521"/>
    </row>
    <row r="35" ht="12.75" customHeight="1">
      <c r="B35" s="196" t="s">
        <v>511</v>
      </c>
      <c r="E35" s="195">
        <f>E33*E34</f>
        <v>847.3650195</v>
      </c>
      <c r="G35" s="154" t="s">
        <v>512</v>
      </c>
      <c r="J35" s="319">
        <v>0.47</v>
      </c>
      <c r="L35" s="154" t="s">
        <v>499</v>
      </c>
      <c r="O35" s="195">
        <f>E38</f>
        <v>3530.472045</v>
      </c>
    </row>
    <row r="36" ht="12.75" customHeight="1">
      <c r="B36" s="154" t="s">
        <v>513</v>
      </c>
      <c r="G36" s="154" t="s">
        <v>514</v>
      </c>
      <c r="J36" s="224">
        <f>J33/J35-1</f>
        <v>0.6097451347</v>
      </c>
      <c r="L36" s="154" t="s">
        <v>515</v>
      </c>
      <c r="O36" s="195">
        <f>J10</f>
        <v>485.474</v>
      </c>
    </row>
    <row r="37" ht="12.75" customHeight="1"/>
    <row r="38" ht="12.75" customHeight="1">
      <c r="B38" s="154" t="s">
        <v>499</v>
      </c>
      <c r="E38" s="517">
        <f>E35+E28</f>
        <v>3530.472045</v>
      </c>
      <c r="L38" s="154" t="s">
        <v>516</v>
      </c>
      <c r="O38" s="522">
        <f>O35/O36</f>
        <v>7.272216525</v>
      </c>
    </row>
    <row r="39" ht="12.75" customHeight="1"/>
    <row r="40" ht="12.75" customHeight="1">
      <c r="C40" s="523" t="s">
        <v>499</v>
      </c>
      <c r="D40" s="520"/>
      <c r="E40" s="520"/>
      <c r="F40" s="520"/>
      <c r="G40" s="520"/>
      <c r="H40" s="521"/>
      <c r="J40" s="519" t="s">
        <v>517</v>
      </c>
      <c r="K40" s="520"/>
      <c r="L40" s="520"/>
      <c r="M40" s="520"/>
      <c r="N40" s="520"/>
      <c r="O40" s="521"/>
    </row>
    <row r="41" ht="12.75" customHeight="1">
      <c r="C41" s="473" t="s">
        <v>518</v>
      </c>
      <c r="D41" s="474"/>
      <c r="E41" s="474"/>
      <c r="F41" s="474"/>
      <c r="G41" s="474"/>
      <c r="H41" s="474"/>
      <c r="J41" s="524" t="s">
        <v>518</v>
      </c>
      <c r="K41" s="525"/>
      <c r="L41" s="525"/>
      <c r="M41" s="525"/>
      <c r="N41" s="525"/>
      <c r="O41" s="526"/>
    </row>
    <row r="42" ht="12.75" customHeight="1">
      <c r="B42" s="527" t="s">
        <v>491</v>
      </c>
      <c r="C42" s="528">
        <f>E38</f>
        <v>3530.472045</v>
      </c>
      <c r="D42" s="529">
        <f t="shared" ref="D42:E42" si="16">E42-0.5</f>
        <v>2</v>
      </c>
      <c r="E42" s="529">
        <f t="shared" si="16"/>
        <v>2.5</v>
      </c>
      <c r="F42" s="529">
        <v>3.0</v>
      </c>
      <c r="G42" s="529">
        <f t="shared" ref="G42:H42" si="17">F42+0.5</f>
        <v>3.5</v>
      </c>
      <c r="H42" s="529">
        <f t="shared" si="17"/>
        <v>4</v>
      </c>
      <c r="I42" s="530" t="s">
        <v>491</v>
      </c>
      <c r="J42" s="528">
        <v>2936.5450451359234</v>
      </c>
      <c r="K42" s="531">
        <f t="shared" ref="K42:L42" si="18">L42-0.5</f>
        <v>2</v>
      </c>
      <c r="L42" s="531">
        <f t="shared" si="18"/>
        <v>2.5</v>
      </c>
      <c r="M42" s="529">
        <v>3.0</v>
      </c>
      <c r="N42" s="531">
        <f t="shared" ref="N42:O42" si="19">M42+0.5</f>
        <v>3.5</v>
      </c>
      <c r="O42" s="531">
        <f t="shared" si="19"/>
        <v>4</v>
      </c>
    </row>
    <row r="43" ht="12.75" customHeight="1">
      <c r="B43" s="479"/>
      <c r="C43" s="532">
        <f t="shared" ref="C43:C44" si="20">C44-0.5%</f>
        <v>0.1038517325</v>
      </c>
      <c r="D43" s="533">
        <v>3274.073002104361</v>
      </c>
      <c r="E43" s="533">
        <v>3421.814496227086</v>
      </c>
      <c r="F43" s="533">
        <v>3569.55599034981</v>
      </c>
      <c r="G43" s="533">
        <v>3717.297484472535</v>
      </c>
      <c r="H43" s="533">
        <v>3865.0389785952593</v>
      </c>
      <c r="J43" s="532">
        <f t="shared" ref="J43:J44" si="21">J44-0.5%</f>
        <v>0.1038517325</v>
      </c>
      <c r="K43" s="533">
        <v>2936.5450451359234</v>
      </c>
      <c r="L43" s="533">
        <v>2936.5450451359234</v>
      </c>
      <c r="M43" s="533">
        <v>2936.5450451359234</v>
      </c>
      <c r="N43" s="533">
        <v>2936.5450451359234</v>
      </c>
      <c r="O43" s="533">
        <v>2936.5450451359234</v>
      </c>
    </row>
    <row r="44" ht="12.75" customHeight="1">
      <c r="B44" s="479"/>
      <c r="C44" s="532">
        <f t="shared" si="20"/>
        <v>0.1088517325</v>
      </c>
      <c r="D44" s="533">
        <v>3260.8687926079783</v>
      </c>
      <c r="E44" s="534">
        <v>3405.309234356607</v>
      </c>
      <c r="F44" s="534">
        <v>3549.7496761052357</v>
      </c>
      <c r="G44" s="534">
        <v>3694.1901178538646</v>
      </c>
      <c r="H44" s="533">
        <v>3838.630559602493</v>
      </c>
      <c r="J44" s="532">
        <f t="shared" si="21"/>
        <v>0.1088517325</v>
      </c>
      <c r="K44" s="533">
        <v>2936.5450451359234</v>
      </c>
      <c r="L44" s="534">
        <v>2936.5450451359234</v>
      </c>
      <c r="M44" s="534">
        <v>2936.5450451359234</v>
      </c>
      <c r="N44" s="534">
        <v>2936.5450451359234</v>
      </c>
      <c r="O44" s="533">
        <v>2936.5450451359234</v>
      </c>
    </row>
    <row r="45" ht="12.75" customHeight="1">
      <c r="B45" s="479"/>
      <c r="C45" s="532">
        <v>0.113851732474651</v>
      </c>
      <c r="D45" s="533">
        <v>3248.0170386284367</v>
      </c>
      <c r="E45" s="534">
        <v>3389.24454188218</v>
      </c>
      <c r="F45" s="535">
        <v>3530.4720451359235</v>
      </c>
      <c r="G45" s="534">
        <v>3671.699548389667</v>
      </c>
      <c r="H45" s="533">
        <v>3812.9270516434103</v>
      </c>
      <c r="J45" s="532">
        <v>0.11385173247465111</v>
      </c>
      <c r="K45" s="533">
        <v>2936.5450451359234</v>
      </c>
      <c r="L45" s="534">
        <v>2936.5450451359234</v>
      </c>
      <c r="M45" s="536">
        <v>2936.5450451359234</v>
      </c>
      <c r="N45" s="534">
        <v>2936.5450451359234</v>
      </c>
      <c r="O45" s="533">
        <v>2936.5450451359234</v>
      </c>
    </row>
    <row r="46" ht="12.75" customHeight="1">
      <c r="B46" s="479"/>
      <c r="C46" s="532">
        <f t="shared" ref="C46:C47" si="22">C45+0.5%</f>
        <v>0.1188517325</v>
      </c>
      <c r="D46" s="533">
        <v>3235.506812878097</v>
      </c>
      <c r="E46" s="534">
        <v>3373.6067596942557</v>
      </c>
      <c r="F46" s="534">
        <v>3511.7067065104143</v>
      </c>
      <c r="G46" s="534">
        <v>3649.806653326573</v>
      </c>
      <c r="H46" s="533">
        <v>3787.906600142732</v>
      </c>
      <c r="J46" s="532">
        <f t="shared" ref="J46:J47" si="23">J45+0.5%</f>
        <v>0.1188517325</v>
      </c>
      <c r="K46" s="533">
        <v>2936.5450451359234</v>
      </c>
      <c r="L46" s="534">
        <v>2936.5450451359234</v>
      </c>
      <c r="M46" s="534">
        <v>2936.5450451359234</v>
      </c>
      <c r="N46" s="534">
        <v>2936.5450451359234</v>
      </c>
      <c r="O46" s="533">
        <v>2936.5450451359234</v>
      </c>
    </row>
    <row r="47" ht="12.75" customHeight="1">
      <c r="B47" s="479"/>
      <c r="C47" s="532">
        <f t="shared" si="22"/>
        <v>0.1238517325</v>
      </c>
      <c r="D47" s="533">
        <v>3223.327573539074</v>
      </c>
      <c r="E47" s="533">
        <v>3358.3827105204764</v>
      </c>
      <c r="F47" s="533">
        <v>3493.4378475018793</v>
      </c>
      <c r="G47" s="533">
        <v>3628.4929844832823</v>
      </c>
      <c r="H47" s="533">
        <v>3763.5481214646848</v>
      </c>
      <c r="J47" s="532">
        <f t="shared" si="23"/>
        <v>0.1238517325</v>
      </c>
      <c r="K47" s="533">
        <v>2936.5450451359234</v>
      </c>
      <c r="L47" s="533">
        <v>2936.5450451359234</v>
      </c>
      <c r="M47" s="533">
        <v>2936.5450451359234</v>
      </c>
      <c r="N47" s="533">
        <v>2936.5450451359234</v>
      </c>
      <c r="O47" s="533">
        <v>2936.5450451359234</v>
      </c>
    </row>
    <row r="48" ht="12.75" customHeight="1"/>
    <row r="49" ht="12.75" customHeight="1">
      <c r="C49" s="319" t="s">
        <v>519</v>
      </c>
      <c r="F49" s="537" t="s">
        <v>520</v>
      </c>
    </row>
    <row r="50" ht="12.75" customHeight="1">
      <c r="C50" s="154" t="s">
        <v>521</v>
      </c>
      <c r="E50" s="195"/>
      <c r="F50" s="538">
        <f>PERCENTILE(D43:H47,0.25)</f>
        <v>3373.60676</v>
      </c>
    </row>
    <row r="51" ht="12.75" customHeight="1">
      <c r="C51" s="154" t="s">
        <v>412</v>
      </c>
      <c r="E51" s="195"/>
      <c r="F51" s="538">
        <f>PERCENTILE(D43:H47,0.5)</f>
        <v>3530.472045</v>
      </c>
    </row>
    <row r="52" ht="12.75" customHeight="1">
      <c r="C52" s="154" t="s">
        <v>522</v>
      </c>
      <c r="E52" s="195"/>
      <c r="F52" s="539">
        <f>PERCENTILE(D43:H47,0.75)</f>
        <v>3694.190118</v>
      </c>
    </row>
    <row r="53" ht="12.75" customHeight="1"/>
    <row r="54" ht="12.75" customHeight="1"/>
    <row r="55" ht="12.75" customHeight="1">
      <c r="E55" s="154" t="s">
        <v>523</v>
      </c>
      <c r="G55" s="154" t="s">
        <v>524</v>
      </c>
    </row>
    <row r="56" ht="12.75" customHeight="1">
      <c r="C56" s="154" t="s">
        <v>519</v>
      </c>
      <c r="E56" s="540">
        <f>F50</f>
        <v>3373.60676</v>
      </c>
      <c r="F56" s="541">
        <f t="shared" ref="F56:F59" si="24">G56-E56</f>
        <v>320.5833582</v>
      </c>
      <c r="G56" s="540">
        <f>F52</f>
        <v>3694.190118</v>
      </c>
    </row>
    <row r="57" ht="12.75" customHeight="1">
      <c r="C57" s="154" t="s">
        <v>525</v>
      </c>
      <c r="E57" s="540">
        <f>Hoja3!G6</f>
        <v>675.4608997</v>
      </c>
      <c r="F57" s="541">
        <f t="shared" si="24"/>
        <v>492.4864376</v>
      </c>
      <c r="G57" s="540">
        <f>Hoja3!G5</f>
        <v>1167.947337</v>
      </c>
    </row>
    <row r="58" ht="12.75" customHeight="1">
      <c r="C58" s="154" t="s">
        <v>526</v>
      </c>
      <c r="E58" s="540">
        <f>Comparables!F11*J10+J29+J30</f>
        <v>2950.0332</v>
      </c>
      <c r="F58" s="541">
        <f t="shared" si="24"/>
        <v>4053.7079</v>
      </c>
      <c r="G58" s="540">
        <f>Comparables!F12*J10+J29+J30</f>
        <v>7003.7411</v>
      </c>
    </row>
    <row r="59" ht="12.75" customHeight="1">
      <c r="C59" s="154" t="s">
        <v>527</v>
      </c>
      <c r="E59" s="540">
        <f>Comparables!H11*Buildup!J29</f>
        <v>1933.5753</v>
      </c>
      <c r="F59" s="542">
        <f t="shared" si="24"/>
        <v>208.44216</v>
      </c>
      <c r="G59" s="540">
        <f>Comparables!H12*Buildup!J29</f>
        <v>2142.01746</v>
      </c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42:B47"/>
    <mergeCell ref="I42:I47"/>
    <mergeCell ref="E6:H6"/>
    <mergeCell ref="K6:O6"/>
    <mergeCell ref="L34:O34"/>
    <mergeCell ref="C40:H40"/>
    <mergeCell ref="J40:O40"/>
    <mergeCell ref="C41:H41"/>
    <mergeCell ref="J41:O4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6.5"/>
    <col customWidth="1" min="7" max="26" width="10.63"/>
  </cols>
  <sheetData>
    <row r="1" ht="12.75" customHeight="1"/>
    <row r="2" ht="12.75" customHeight="1">
      <c r="B2" s="319" t="s">
        <v>412</v>
      </c>
    </row>
    <row r="3" ht="12.75" customHeight="1"/>
    <row r="4" ht="12.75" customHeight="1">
      <c r="B4" s="319">
        <v>0.300913431273195</v>
      </c>
      <c r="E4" s="319" t="s">
        <v>184</v>
      </c>
      <c r="F4" s="319" t="s">
        <v>528</v>
      </c>
      <c r="G4" s="319" t="s">
        <v>529</v>
      </c>
    </row>
    <row r="5" ht="12.75" customHeight="1">
      <c r="B5" s="319">
        <v>0.288091037505251</v>
      </c>
      <c r="D5" s="319" t="s">
        <v>530</v>
      </c>
      <c r="E5" s="335">
        <f>MAX(B4:B251)</f>
        <v>0.3009134313</v>
      </c>
      <c r="F5" s="195">
        <v>3881.34</v>
      </c>
      <c r="G5" s="195">
        <f t="shared" ref="G5:G6" si="1">E5*F5</f>
        <v>1167.947337</v>
      </c>
    </row>
    <row r="6" ht="12.75" customHeight="1">
      <c r="B6" s="319">
        <v>0.282746993674479</v>
      </c>
      <c r="D6" s="319" t="s">
        <v>531</v>
      </c>
      <c r="E6" s="335">
        <f>MIN(B4:B251)</f>
        <v>0.1740277584</v>
      </c>
      <c r="F6" s="195">
        <v>3881.34</v>
      </c>
      <c r="G6" s="195">
        <f t="shared" si="1"/>
        <v>675.4608997</v>
      </c>
    </row>
    <row r="7" ht="12.75" customHeight="1">
      <c r="B7" s="319">
        <v>0.281790555560076</v>
      </c>
    </row>
    <row r="8" ht="12.75" customHeight="1">
      <c r="B8" s="319">
        <v>0.291377114861522</v>
      </c>
    </row>
    <row r="9" ht="12.75" customHeight="1">
      <c r="B9" s="319">
        <v>0.285838296724943</v>
      </c>
    </row>
    <row r="10" ht="12.75" customHeight="1">
      <c r="B10" s="319">
        <v>0.270868836318619</v>
      </c>
    </row>
    <row r="11" ht="12.75" customHeight="1">
      <c r="B11" s="319">
        <v>0.268954542401198</v>
      </c>
    </row>
    <row r="12" ht="12.75" customHeight="1">
      <c r="B12" s="319">
        <v>0.265203611432877</v>
      </c>
    </row>
    <row r="13" ht="12.75" customHeight="1">
      <c r="B13" s="319">
        <v>0.25994513358027</v>
      </c>
    </row>
    <row r="14" ht="12.75" customHeight="1">
      <c r="B14" s="319">
        <v>0.256957505392022</v>
      </c>
    </row>
    <row r="15" ht="12.75" customHeight="1">
      <c r="B15" s="319">
        <v>0.250480202572851</v>
      </c>
    </row>
    <row r="16" ht="12.75" customHeight="1">
      <c r="B16" s="319">
        <v>0.256896276057948</v>
      </c>
    </row>
    <row r="17" ht="12.75" customHeight="1">
      <c r="B17" s="319">
        <v>0.264809425552987</v>
      </c>
    </row>
    <row r="18" ht="12.75" customHeight="1">
      <c r="B18" s="319">
        <v>0.263978712126637</v>
      </c>
    </row>
    <row r="19" ht="12.75" customHeight="1">
      <c r="B19" s="319">
        <v>0.250682039753918</v>
      </c>
    </row>
    <row r="20" ht="12.75" customHeight="1">
      <c r="B20" s="319">
        <v>0.250872883984346</v>
      </c>
    </row>
    <row r="21" ht="12.75" customHeight="1">
      <c r="B21" s="319">
        <v>0.249837603679185</v>
      </c>
    </row>
    <row r="22" ht="12.75" customHeight="1">
      <c r="B22" s="319">
        <v>0.243781613583407</v>
      </c>
    </row>
    <row r="23" ht="12.75" customHeight="1">
      <c r="B23" s="319">
        <v>0.240517949784073</v>
      </c>
    </row>
    <row r="24" ht="12.75" customHeight="1">
      <c r="B24" s="319">
        <v>0.238072861072671</v>
      </c>
    </row>
    <row r="25" ht="12.75" customHeight="1">
      <c r="B25" s="319">
        <v>0.237103932566299</v>
      </c>
    </row>
    <row r="26" ht="12.75" customHeight="1">
      <c r="B26" s="319">
        <v>0.23574979734557</v>
      </c>
    </row>
    <row r="27" ht="12.75" customHeight="1">
      <c r="B27" s="319">
        <v>0.233080615254229</v>
      </c>
    </row>
    <row r="28" ht="12.75" customHeight="1">
      <c r="B28" s="319">
        <v>0.234408011016607</v>
      </c>
    </row>
    <row r="29" ht="12.75" customHeight="1">
      <c r="B29" s="319">
        <v>0.236797774729522</v>
      </c>
    </row>
    <row r="30" ht="12.75" customHeight="1">
      <c r="B30" s="319">
        <v>0.23699866608282</v>
      </c>
    </row>
    <row r="31" ht="12.75" customHeight="1">
      <c r="B31" s="319">
        <v>0.238353543425387</v>
      </c>
    </row>
    <row r="32" ht="12.75" customHeight="1">
      <c r="B32" s="319">
        <v>0.238185106825861</v>
      </c>
    </row>
    <row r="33" ht="12.75" customHeight="1">
      <c r="B33" s="319">
        <v>0.239970295634798</v>
      </c>
    </row>
    <row r="34" ht="12.75" customHeight="1">
      <c r="B34" s="319">
        <v>0.23987722385098</v>
      </c>
    </row>
    <row r="35" ht="12.75" customHeight="1">
      <c r="B35" s="319">
        <v>0.23934644252018</v>
      </c>
    </row>
    <row r="36" ht="12.75" customHeight="1">
      <c r="B36" s="319">
        <v>0.23916653696261</v>
      </c>
    </row>
    <row r="37" ht="12.75" customHeight="1">
      <c r="B37" s="319">
        <v>0.238979616064794</v>
      </c>
    </row>
    <row r="38" ht="12.75" customHeight="1">
      <c r="B38" s="319">
        <v>0.238487059213842</v>
      </c>
    </row>
    <row r="39" ht="12.75" customHeight="1">
      <c r="B39" s="319">
        <v>0.239262872613452</v>
      </c>
    </row>
    <row r="40" ht="12.75" customHeight="1">
      <c r="B40" s="319">
        <v>0.237231158369093</v>
      </c>
    </row>
    <row r="41" ht="12.75" customHeight="1">
      <c r="B41" s="319">
        <v>0.232501954881445</v>
      </c>
    </row>
    <row r="42" ht="12.75" customHeight="1">
      <c r="B42" s="319">
        <v>0.22356478234409</v>
      </c>
    </row>
    <row r="43" ht="12.75" customHeight="1">
      <c r="B43" s="319">
        <v>0.224228519760922</v>
      </c>
    </row>
    <row r="44" ht="12.75" customHeight="1">
      <c r="B44" s="319">
        <v>0.230716676590219</v>
      </c>
    </row>
    <row r="45" ht="12.75" customHeight="1">
      <c r="B45" s="319">
        <v>0.233129451587058</v>
      </c>
    </row>
    <row r="46" ht="12.75" customHeight="1">
      <c r="B46" s="319">
        <v>0.234901563565262</v>
      </c>
    </row>
    <row r="47" ht="12.75" customHeight="1">
      <c r="B47" s="319">
        <v>0.240042023879045</v>
      </c>
    </row>
    <row r="48" ht="12.75" customHeight="1">
      <c r="B48" s="319">
        <v>0.242180619732945</v>
      </c>
    </row>
    <row r="49" ht="12.75" customHeight="1">
      <c r="B49" s="319">
        <v>0.247723343831644</v>
      </c>
    </row>
    <row r="50" ht="12.75" customHeight="1">
      <c r="B50" s="319">
        <v>0.238954436589517</v>
      </c>
    </row>
    <row r="51" ht="12.75" customHeight="1">
      <c r="B51" s="319">
        <v>0.226384579956578</v>
      </c>
    </row>
    <row r="52" ht="12.75" customHeight="1">
      <c r="B52" s="319">
        <v>0.206586968831183</v>
      </c>
    </row>
    <row r="53" ht="12.75" customHeight="1">
      <c r="B53" s="319">
        <v>0.208421819842795</v>
      </c>
    </row>
    <row r="54" ht="12.75" customHeight="1">
      <c r="B54" s="319">
        <v>0.201490737422447</v>
      </c>
    </row>
    <row r="55" ht="12.75" customHeight="1">
      <c r="B55" s="319">
        <v>0.198034376715576</v>
      </c>
    </row>
    <row r="56" ht="12.75" customHeight="1">
      <c r="B56" s="319">
        <v>0.201829219412486</v>
      </c>
    </row>
    <row r="57" ht="12.75" customHeight="1">
      <c r="B57" s="319">
        <v>0.198891619194412</v>
      </c>
    </row>
    <row r="58" ht="12.75" customHeight="1">
      <c r="B58" s="319">
        <v>0.202231102263528</v>
      </c>
    </row>
    <row r="59" ht="12.75" customHeight="1">
      <c r="B59" s="319">
        <v>0.202136356612094</v>
      </c>
    </row>
    <row r="60" ht="12.75" customHeight="1">
      <c r="B60" s="319">
        <v>0.201669968419571</v>
      </c>
    </row>
    <row r="61" ht="12.75" customHeight="1">
      <c r="B61" s="319">
        <v>0.200506658233813</v>
      </c>
    </row>
    <row r="62" ht="12.75" customHeight="1">
      <c r="B62" s="319">
        <v>0.196238384599192</v>
      </c>
    </row>
    <row r="63" ht="12.75" customHeight="1">
      <c r="B63" s="319">
        <v>0.188306684613706</v>
      </c>
    </row>
    <row r="64" ht="12.75" customHeight="1">
      <c r="B64" s="319">
        <v>0.186040570829192</v>
      </c>
    </row>
    <row r="65" ht="12.75" customHeight="1">
      <c r="B65" s="319">
        <v>0.183455872996838</v>
      </c>
    </row>
    <row r="66" ht="12.75" customHeight="1">
      <c r="B66" s="319">
        <v>0.183283814825271</v>
      </c>
    </row>
    <row r="67" ht="12.75" customHeight="1">
      <c r="B67" s="319">
        <v>0.1814069691241</v>
      </c>
    </row>
    <row r="68" ht="12.75" customHeight="1">
      <c r="B68" s="319">
        <v>0.183761303100945</v>
      </c>
    </row>
    <row r="69" ht="12.75" customHeight="1">
      <c r="B69" s="319">
        <v>0.181436209770506</v>
      </c>
    </row>
    <row r="70" ht="12.75" customHeight="1">
      <c r="B70" s="319">
        <v>0.181537284377949</v>
      </c>
    </row>
    <row r="71" ht="12.75" customHeight="1">
      <c r="B71" s="319">
        <v>0.190114205619949</v>
      </c>
    </row>
    <row r="72" ht="12.75" customHeight="1">
      <c r="B72" s="319">
        <v>0.190902471079854</v>
      </c>
    </row>
    <row r="73" ht="12.75" customHeight="1">
      <c r="B73" s="319">
        <v>0.190193679440918</v>
      </c>
    </row>
    <row r="74" ht="12.75" customHeight="1">
      <c r="B74" s="319">
        <v>0.190636484117345</v>
      </c>
    </row>
    <row r="75" ht="12.75" customHeight="1">
      <c r="B75" s="319">
        <v>0.191309795538046</v>
      </c>
    </row>
    <row r="76" ht="12.75" customHeight="1">
      <c r="B76" s="319">
        <v>0.192158479783572</v>
      </c>
    </row>
    <row r="77" ht="12.75" customHeight="1">
      <c r="B77" s="319">
        <v>0.190461284257039</v>
      </c>
    </row>
    <row r="78" ht="12.75" customHeight="1">
      <c r="B78" s="319">
        <v>0.190798983834179</v>
      </c>
    </row>
    <row r="79" ht="12.75" customHeight="1">
      <c r="B79" s="319">
        <v>0.194802067683952</v>
      </c>
    </row>
    <row r="80" ht="12.75" customHeight="1">
      <c r="B80" s="319">
        <v>0.195653842806651</v>
      </c>
    </row>
    <row r="81" ht="12.75" customHeight="1">
      <c r="B81" s="319">
        <v>0.193564250363531</v>
      </c>
    </row>
    <row r="82" ht="12.75" customHeight="1">
      <c r="B82" s="319">
        <v>0.194578161076953</v>
      </c>
    </row>
    <row r="83" ht="12.75" customHeight="1">
      <c r="B83" s="319">
        <v>0.191272265988764</v>
      </c>
    </row>
    <row r="84" ht="12.75" customHeight="1">
      <c r="B84" s="319">
        <v>0.191457988809599</v>
      </c>
    </row>
    <row r="85" ht="12.75" customHeight="1">
      <c r="B85" s="319">
        <v>0.19567113510898</v>
      </c>
    </row>
    <row r="86" ht="12.75" customHeight="1">
      <c r="B86" s="319">
        <v>0.196848381590153</v>
      </c>
    </row>
    <row r="87" ht="12.75" customHeight="1">
      <c r="B87" s="319">
        <v>0.191052765384622</v>
      </c>
    </row>
    <row r="88" ht="12.75" customHeight="1">
      <c r="B88" s="319">
        <v>0.194103824230961</v>
      </c>
    </row>
    <row r="89" ht="12.75" customHeight="1">
      <c r="B89" s="319">
        <v>0.198833211223355</v>
      </c>
    </row>
    <row r="90" ht="12.75" customHeight="1">
      <c r="B90" s="319">
        <v>0.194576770262744</v>
      </c>
    </row>
    <row r="91" ht="12.75" customHeight="1">
      <c r="B91" s="319">
        <v>0.194014039092262</v>
      </c>
    </row>
    <row r="92" ht="12.75" customHeight="1">
      <c r="B92" s="319">
        <v>0.198164487249982</v>
      </c>
    </row>
    <row r="93" ht="12.75" customHeight="1">
      <c r="B93" s="319">
        <v>0.203976603216014</v>
      </c>
    </row>
    <row r="94" ht="12.75" customHeight="1">
      <c r="B94" s="319">
        <v>0.199123781290871</v>
      </c>
    </row>
    <row r="95" ht="12.75" customHeight="1">
      <c r="B95" s="319">
        <v>0.199039410157389</v>
      </c>
    </row>
    <row r="96" ht="12.75" customHeight="1">
      <c r="B96" s="319">
        <v>0.191183666848037</v>
      </c>
    </row>
    <row r="97" ht="12.75" customHeight="1">
      <c r="B97" s="319">
        <v>0.191718924342381</v>
      </c>
    </row>
    <row r="98" ht="12.75" customHeight="1">
      <c r="B98" s="319">
        <v>0.205091319909675</v>
      </c>
    </row>
    <row r="99" ht="12.75" customHeight="1">
      <c r="B99" s="319">
        <v>0.209560305331052</v>
      </c>
    </row>
    <row r="100" ht="12.75" customHeight="1">
      <c r="B100" s="319">
        <v>0.215178818356214</v>
      </c>
    </row>
    <row r="101" ht="12.75" customHeight="1">
      <c r="B101" s="319">
        <v>0.209031444384673</v>
      </c>
    </row>
    <row r="102" ht="12.75" customHeight="1">
      <c r="B102" s="319">
        <v>0.214212223137348</v>
      </c>
    </row>
    <row r="103" ht="12.75" customHeight="1">
      <c r="B103" s="319">
        <v>0.209301826378669</v>
      </c>
    </row>
    <row r="104" ht="12.75" customHeight="1">
      <c r="B104" s="319">
        <v>0.211716975487602</v>
      </c>
    </row>
    <row r="105" ht="12.75" customHeight="1">
      <c r="B105" s="319">
        <v>0.20845414111316</v>
      </c>
    </row>
    <row r="106" ht="12.75" customHeight="1">
      <c r="B106" s="319">
        <v>0.207029744060263</v>
      </c>
    </row>
    <row r="107" ht="12.75" customHeight="1">
      <c r="B107" s="319">
        <v>0.202519008678935</v>
      </c>
    </row>
    <row r="108" ht="12.75" customHeight="1">
      <c r="B108" s="319">
        <v>0.198763505316908</v>
      </c>
    </row>
    <row r="109" ht="12.75" customHeight="1">
      <c r="B109" s="319">
        <v>0.192360817950488</v>
      </c>
    </row>
    <row r="110" ht="12.75" customHeight="1">
      <c r="B110" s="319">
        <v>0.191922154750522</v>
      </c>
    </row>
    <row r="111" ht="12.75" customHeight="1">
      <c r="B111" s="319">
        <v>0.192095379109414</v>
      </c>
    </row>
    <row r="112" ht="12.75" customHeight="1">
      <c r="B112" s="319">
        <v>0.194734853291843</v>
      </c>
    </row>
    <row r="113" ht="12.75" customHeight="1">
      <c r="B113" s="319">
        <v>0.191151808350919</v>
      </c>
    </row>
    <row r="114" ht="12.75" customHeight="1">
      <c r="B114" s="319">
        <v>0.188020714503452</v>
      </c>
    </row>
    <row r="115" ht="12.75" customHeight="1">
      <c r="B115" s="319">
        <v>0.184991148895861</v>
      </c>
    </row>
    <row r="116" ht="12.75" customHeight="1">
      <c r="B116" s="319">
        <v>0.181548668893554</v>
      </c>
    </row>
    <row r="117" ht="12.75" customHeight="1">
      <c r="B117" s="319">
        <v>0.187962283499761</v>
      </c>
    </row>
    <row r="118" ht="12.75" customHeight="1">
      <c r="B118" s="319">
        <v>0.190063801998622</v>
      </c>
    </row>
    <row r="119" ht="12.75" customHeight="1">
      <c r="B119" s="319">
        <v>0.186764088575914</v>
      </c>
    </row>
    <row r="120" ht="12.75" customHeight="1">
      <c r="B120" s="319">
        <v>0.189071617726777</v>
      </c>
    </row>
    <row r="121" ht="12.75" customHeight="1">
      <c r="B121" s="319">
        <v>0.191215132432235</v>
      </c>
    </row>
    <row r="122" ht="12.75" customHeight="1">
      <c r="B122" s="319">
        <v>0.193137395909138</v>
      </c>
    </row>
    <row r="123" ht="12.75" customHeight="1">
      <c r="B123" s="319">
        <v>0.196125807305002</v>
      </c>
    </row>
    <row r="124" ht="12.75" customHeight="1">
      <c r="B124" s="319">
        <v>0.196075712783436</v>
      </c>
    </row>
    <row r="125" ht="12.75" customHeight="1">
      <c r="B125" s="319">
        <v>0.197920608568724</v>
      </c>
    </row>
    <row r="126" ht="12.75" customHeight="1">
      <c r="B126" s="319">
        <v>0.199834702241492</v>
      </c>
    </row>
    <row r="127" ht="12.75" customHeight="1">
      <c r="B127" s="319">
        <v>0.200615888679954</v>
      </c>
    </row>
    <row r="128" ht="12.75" customHeight="1">
      <c r="B128" s="319">
        <v>0.201986505373752</v>
      </c>
    </row>
    <row r="129" ht="12.75" customHeight="1">
      <c r="B129" s="319">
        <v>0.201229126348799</v>
      </c>
    </row>
    <row r="130" ht="12.75" customHeight="1">
      <c r="B130" s="319">
        <v>0.209601762832019</v>
      </c>
    </row>
    <row r="131" ht="12.75" customHeight="1">
      <c r="B131" s="319">
        <v>0.211727641729227</v>
      </c>
    </row>
    <row r="132" ht="12.75" customHeight="1">
      <c r="B132" s="319">
        <v>0.201606631546232</v>
      </c>
    </row>
    <row r="133" ht="12.75" customHeight="1">
      <c r="B133" s="319">
        <v>0.200440908754255</v>
      </c>
    </row>
    <row r="134" ht="12.75" customHeight="1">
      <c r="B134" s="319">
        <v>0.199955498872336</v>
      </c>
    </row>
    <row r="135" ht="12.75" customHeight="1">
      <c r="B135" s="319">
        <v>0.196597400774869</v>
      </c>
    </row>
    <row r="136" ht="12.75" customHeight="1">
      <c r="B136" s="319">
        <v>0.198136559466206</v>
      </c>
    </row>
    <row r="137" ht="12.75" customHeight="1">
      <c r="B137" s="319">
        <v>0.198300412211816</v>
      </c>
    </row>
    <row r="138" ht="12.75" customHeight="1">
      <c r="B138" s="319">
        <v>0.198260437375745</v>
      </c>
    </row>
    <row r="139" ht="12.75" customHeight="1">
      <c r="B139" s="319">
        <v>0.20035113710615</v>
      </c>
    </row>
    <row r="140" ht="12.75" customHeight="1">
      <c r="B140" s="319">
        <v>0.194072293329906</v>
      </c>
    </row>
    <row r="141" ht="12.75" customHeight="1">
      <c r="B141" s="319">
        <v>0.192632261381955</v>
      </c>
    </row>
    <row r="142" ht="12.75" customHeight="1">
      <c r="B142" s="319">
        <v>0.190566642387112</v>
      </c>
    </row>
    <row r="143" ht="12.75" customHeight="1">
      <c r="B143" s="319">
        <v>0.19981291784886</v>
      </c>
    </row>
    <row r="144" ht="12.75" customHeight="1">
      <c r="B144" s="319">
        <v>0.199763498216463</v>
      </c>
    </row>
    <row r="145" ht="12.75" customHeight="1">
      <c r="B145" s="319">
        <v>0.199724742290556</v>
      </c>
    </row>
    <row r="146" ht="12.75" customHeight="1">
      <c r="B146" s="319">
        <v>0.200235044357095</v>
      </c>
    </row>
    <row r="147" ht="12.75" customHeight="1">
      <c r="B147" s="319">
        <v>0.201776493763284</v>
      </c>
    </row>
    <row r="148" ht="12.75" customHeight="1">
      <c r="B148" s="319">
        <v>0.202121439065809</v>
      </c>
    </row>
    <row r="149" ht="12.75" customHeight="1">
      <c r="B149" s="319">
        <v>0.200734024081148</v>
      </c>
    </row>
    <row r="150" ht="12.75" customHeight="1">
      <c r="B150" s="319">
        <v>0.203028691485996</v>
      </c>
    </row>
    <row r="151" ht="12.75" customHeight="1">
      <c r="B151" s="319">
        <v>0.20350872016892</v>
      </c>
    </row>
    <row r="152" ht="12.75" customHeight="1">
      <c r="B152" s="319">
        <v>0.206961322050042</v>
      </c>
    </row>
    <row r="153" ht="12.75" customHeight="1">
      <c r="B153" s="319">
        <v>0.208516621311562</v>
      </c>
    </row>
    <row r="154" ht="12.75" customHeight="1">
      <c r="B154" s="319">
        <v>0.208785950180846</v>
      </c>
    </row>
    <row r="155" ht="12.75" customHeight="1">
      <c r="B155" s="319">
        <v>0.209340624942944</v>
      </c>
    </row>
    <row r="156" ht="12.75" customHeight="1">
      <c r="B156" s="319">
        <v>0.210269859440542</v>
      </c>
    </row>
    <row r="157" ht="12.75" customHeight="1">
      <c r="B157" s="319">
        <v>0.211081750832533</v>
      </c>
    </row>
    <row r="158" ht="12.75" customHeight="1">
      <c r="B158" s="319">
        <v>0.214750232090684</v>
      </c>
    </row>
    <row r="159" ht="12.75" customHeight="1">
      <c r="B159" s="319">
        <v>0.213186244433448</v>
      </c>
    </row>
    <row r="160" ht="12.75" customHeight="1">
      <c r="B160" s="319">
        <v>0.211311607305377</v>
      </c>
    </row>
    <row r="161" ht="12.75" customHeight="1">
      <c r="B161" s="319">
        <v>0.210782468095919</v>
      </c>
    </row>
    <row r="162" ht="12.75" customHeight="1">
      <c r="B162" s="319">
        <v>0.210939722693153</v>
      </c>
    </row>
    <row r="163" ht="12.75" customHeight="1">
      <c r="B163" s="319">
        <v>0.212097351209613</v>
      </c>
    </row>
    <row r="164" ht="12.75" customHeight="1"/>
    <row r="165" ht="12.75" customHeight="1">
      <c r="B165" s="319">
        <v>0.207342017046354</v>
      </c>
    </row>
    <row r="166" ht="12.75" customHeight="1">
      <c r="B166" s="319">
        <v>0.206965843934181</v>
      </c>
    </row>
    <row r="167" ht="12.75" customHeight="1">
      <c r="B167" s="319">
        <v>0.205995353487892</v>
      </c>
    </row>
    <row r="168" ht="12.75" customHeight="1">
      <c r="B168" s="319">
        <v>0.209497671663659</v>
      </c>
    </row>
    <row r="169" ht="12.75" customHeight="1">
      <c r="B169" s="319">
        <v>0.209577813186172</v>
      </c>
    </row>
    <row r="170" ht="12.75" customHeight="1">
      <c r="B170" s="319">
        <v>0.209418782352027</v>
      </c>
    </row>
    <row r="171" ht="12.75" customHeight="1">
      <c r="B171" s="319">
        <v>0.215020077619784</v>
      </c>
    </row>
    <row r="172" ht="12.75" customHeight="1">
      <c r="B172" s="319">
        <v>0.216233889216519</v>
      </c>
    </row>
    <row r="173" ht="12.75" customHeight="1">
      <c r="B173" s="319">
        <v>0.216046083396675</v>
      </c>
    </row>
    <row r="174" ht="12.75" customHeight="1">
      <c r="B174" s="319">
        <v>0.210057586015275</v>
      </c>
    </row>
    <row r="175" ht="12.75" customHeight="1">
      <c r="B175" s="319">
        <v>0.209913367969591</v>
      </c>
    </row>
    <row r="176" ht="12.75" customHeight="1">
      <c r="B176" s="319">
        <v>0.20969319733137</v>
      </c>
    </row>
    <row r="177" ht="12.75" customHeight="1">
      <c r="B177" s="319">
        <v>0.209342574336608</v>
      </c>
    </row>
    <row r="178" ht="12.75" customHeight="1">
      <c r="B178" s="319">
        <v>0.210668057096503</v>
      </c>
    </row>
    <row r="179" ht="12.75" customHeight="1">
      <c r="B179" s="319">
        <v>0.211668039852978</v>
      </c>
    </row>
    <row r="180" ht="12.75" customHeight="1">
      <c r="B180" s="319">
        <v>0.21390304309295</v>
      </c>
    </row>
    <row r="181" ht="12.75" customHeight="1">
      <c r="B181" s="319">
        <v>0.215232067920013</v>
      </c>
    </row>
    <row r="182" ht="12.75" customHeight="1">
      <c r="B182" s="319">
        <v>0.217997455669133</v>
      </c>
    </row>
    <row r="183" ht="12.75" customHeight="1">
      <c r="B183" s="319">
        <v>0.220006338441021</v>
      </c>
    </row>
    <row r="184" ht="12.75" customHeight="1">
      <c r="B184" s="319">
        <v>0.220032038163995</v>
      </c>
    </row>
    <row r="185" ht="12.75" customHeight="1">
      <c r="B185" s="319">
        <v>0.218127613802126</v>
      </c>
    </row>
    <row r="186" ht="12.75" customHeight="1">
      <c r="B186" s="319">
        <v>0.219997840428029</v>
      </c>
    </row>
    <row r="187" ht="12.75" customHeight="1">
      <c r="B187" s="319">
        <v>0.219859661584646</v>
      </c>
    </row>
    <row r="188" ht="12.75" customHeight="1">
      <c r="B188" s="319">
        <v>0.222826814050393</v>
      </c>
    </row>
    <row r="189" ht="12.75" customHeight="1">
      <c r="B189" s="319">
        <v>0.225419783320141</v>
      </c>
    </row>
    <row r="190" ht="12.75" customHeight="1">
      <c r="B190" s="319">
        <v>0.225195605131277</v>
      </c>
    </row>
    <row r="191" ht="12.75" customHeight="1">
      <c r="B191" s="319">
        <v>0.226215729205788</v>
      </c>
    </row>
    <row r="192" ht="12.75" customHeight="1">
      <c r="B192" s="319">
        <v>0.221876438454109</v>
      </c>
    </row>
    <row r="193" ht="12.75" customHeight="1">
      <c r="B193" s="319">
        <v>0.220144415313442</v>
      </c>
    </row>
    <row r="194" ht="12.75" customHeight="1">
      <c r="B194" s="319">
        <v>0.227810561119658</v>
      </c>
    </row>
    <row r="195" ht="12.75" customHeight="1">
      <c r="B195" s="319">
        <v>0.229049014760743</v>
      </c>
    </row>
    <row r="196" ht="12.75" customHeight="1">
      <c r="B196" s="319">
        <v>0.228263697938708</v>
      </c>
    </row>
    <row r="197" ht="12.75" customHeight="1">
      <c r="B197" s="319">
        <v>0.229548057049117</v>
      </c>
    </row>
    <row r="198" ht="12.75" customHeight="1">
      <c r="B198" s="319">
        <v>0.228526278415925</v>
      </c>
    </row>
    <row r="199" ht="12.75" customHeight="1">
      <c r="B199" s="319">
        <v>0.228142634257351</v>
      </c>
    </row>
    <row r="200" ht="12.75" customHeight="1">
      <c r="B200" s="319">
        <v>0.234830105910977</v>
      </c>
    </row>
    <row r="201" ht="12.75" customHeight="1">
      <c r="B201" s="319">
        <v>0.236751027458365</v>
      </c>
    </row>
    <row r="202" ht="12.75" customHeight="1">
      <c r="B202" s="319">
        <v>0.229762211205403</v>
      </c>
    </row>
    <row r="203" ht="12.75" customHeight="1">
      <c r="B203" s="319">
        <v>0.237774359715129</v>
      </c>
    </row>
    <row r="204" ht="12.75" customHeight="1">
      <c r="B204" s="319">
        <v>0.234162620621992</v>
      </c>
    </row>
    <row r="205" ht="12.75" customHeight="1">
      <c r="B205" s="319">
        <v>0.225280761587997</v>
      </c>
    </row>
    <row r="206" ht="12.75" customHeight="1">
      <c r="B206" s="319">
        <v>0.244422509241199</v>
      </c>
    </row>
    <row r="207" ht="12.75" customHeight="1">
      <c r="B207" s="319">
        <v>0.238633091133293</v>
      </c>
    </row>
    <row r="208" ht="12.75" customHeight="1">
      <c r="B208" s="319">
        <v>0.229789154051087</v>
      </c>
    </row>
    <row r="209" ht="12.75" customHeight="1">
      <c r="B209" s="319">
        <v>0.231924864774526</v>
      </c>
    </row>
    <row r="210" ht="12.75" customHeight="1">
      <c r="B210" s="319">
        <v>0.238033041493751</v>
      </c>
    </row>
    <row r="211" ht="12.75" customHeight="1">
      <c r="B211" s="319">
        <v>0.234464949724447</v>
      </c>
    </row>
    <row r="212" ht="12.75" customHeight="1">
      <c r="B212" s="319">
        <v>0.219932230718978</v>
      </c>
    </row>
    <row r="213" ht="12.75" customHeight="1">
      <c r="B213" s="319">
        <v>0.208081963740682</v>
      </c>
    </row>
    <row r="214" ht="12.75" customHeight="1">
      <c r="B214" s="319">
        <v>0.201916960132188</v>
      </c>
    </row>
    <row r="215" ht="12.75" customHeight="1">
      <c r="B215" s="319">
        <v>0.20031143418309</v>
      </c>
    </row>
    <row r="216" ht="12.75" customHeight="1">
      <c r="B216" s="319">
        <v>0.1995</v>
      </c>
    </row>
    <row r="217" ht="12.75" customHeight="1">
      <c r="B217" s="319">
        <v>0.197309148652921</v>
      </c>
    </row>
    <row r="218" ht="12.75" customHeight="1">
      <c r="B218" s="319">
        <v>0.19629136984217</v>
      </c>
    </row>
    <row r="219" ht="12.75" customHeight="1">
      <c r="B219" s="319">
        <v>0.198125920918681</v>
      </c>
    </row>
    <row r="220" ht="12.75" customHeight="1">
      <c r="B220" s="319">
        <v>0.194762226186229</v>
      </c>
    </row>
    <row r="221" ht="12.75" customHeight="1">
      <c r="B221" s="319">
        <v>0.194102624023705</v>
      </c>
    </row>
    <row r="222" ht="12.75" customHeight="1">
      <c r="B222" s="319">
        <v>0.197121579469895</v>
      </c>
    </row>
    <row r="223" ht="12.75" customHeight="1">
      <c r="B223" s="319">
        <v>0.195030718946666</v>
      </c>
    </row>
    <row r="224" ht="12.75" customHeight="1">
      <c r="B224" s="319">
        <v>0.194986638210896</v>
      </c>
    </row>
    <row r="225" ht="12.75" customHeight="1">
      <c r="B225" s="319">
        <v>0.194772821644403</v>
      </c>
    </row>
    <row r="226" ht="12.75" customHeight="1">
      <c r="B226" s="319">
        <v>0.190313908533001</v>
      </c>
    </row>
    <row r="227" ht="12.75" customHeight="1">
      <c r="B227" s="319">
        <v>0.191991132274597</v>
      </c>
    </row>
    <row r="228" ht="12.75" customHeight="1">
      <c r="B228" s="319">
        <v>0.199151095325685</v>
      </c>
    </row>
    <row r="229" ht="12.75" customHeight="1">
      <c r="B229" s="319">
        <v>0.187421333570911</v>
      </c>
    </row>
    <row r="230" ht="12.75" customHeight="1">
      <c r="B230" s="319">
        <v>0.182990790760977</v>
      </c>
    </row>
    <row r="231" ht="12.75" customHeight="1">
      <c r="B231" s="319">
        <v>0.181994255818348</v>
      </c>
    </row>
    <row r="232" ht="12.75" customHeight="1">
      <c r="B232" s="319">
        <v>0.179986727424213</v>
      </c>
    </row>
    <row r="233" ht="12.75" customHeight="1">
      <c r="B233" s="319">
        <v>0.1784772864056</v>
      </c>
    </row>
    <row r="234" ht="12.75" customHeight="1">
      <c r="B234" s="319">
        <v>0.176869496796193</v>
      </c>
    </row>
    <row r="235" ht="12.75" customHeight="1">
      <c r="B235" s="319">
        <v>0.174027758386069</v>
      </c>
    </row>
    <row r="236" ht="12.75" customHeight="1">
      <c r="B236" s="319">
        <v>0.174973991657066</v>
      </c>
    </row>
    <row r="237" ht="12.75" customHeight="1">
      <c r="B237" s="319">
        <v>0.180504097343196</v>
      </c>
    </row>
    <row r="238" ht="12.75" customHeight="1">
      <c r="B238" s="319">
        <v>0.180525813133434</v>
      </c>
    </row>
    <row r="239" ht="12.75" customHeight="1">
      <c r="B239" s="319">
        <v>0.179480344601293</v>
      </c>
    </row>
    <row r="240" ht="12.75" customHeight="1">
      <c r="B240" s="319">
        <v>0.178200090033871</v>
      </c>
    </row>
    <row r="241" ht="12.75" customHeight="1">
      <c r="B241" s="319">
        <v>0.17624726527616</v>
      </c>
    </row>
    <row r="242" ht="12.75" customHeight="1">
      <c r="B242" s="319">
        <v>0.178228008075594</v>
      </c>
    </row>
    <row r="243" ht="12.75" customHeight="1">
      <c r="B243" s="319">
        <v>0.178061891361707</v>
      </c>
    </row>
    <row r="244" ht="12.75" customHeight="1">
      <c r="B244" s="319">
        <v>0.179284668340345</v>
      </c>
    </row>
    <row r="245" ht="12.75" customHeight="1">
      <c r="B245" s="319">
        <v>0.178287053190728</v>
      </c>
    </row>
    <row r="246" ht="12.75" customHeight="1">
      <c r="B246" s="319">
        <v>0.179739713139364</v>
      </c>
    </row>
    <row r="247" ht="12.75" customHeight="1">
      <c r="B247" s="319">
        <v>0.182379327381338</v>
      </c>
    </row>
    <row r="248" ht="12.75" customHeight="1">
      <c r="B248" s="319">
        <v>0.17900632430366</v>
      </c>
    </row>
    <row r="249" ht="12.75" customHeight="1">
      <c r="B249" s="319">
        <v>0.179131578188912</v>
      </c>
    </row>
    <row r="250" ht="12.75" customHeight="1">
      <c r="B250" s="319">
        <v>0.180810744172747</v>
      </c>
    </row>
    <row r="251" ht="12.75" customHeight="1">
      <c r="B251" s="319">
        <v>0.18145143701424</v>
      </c>
    </row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25.38"/>
    <col customWidth="1" min="3" max="7" width="11.5"/>
    <col customWidth="1" min="8" max="18" width="10.63"/>
  </cols>
  <sheetData>
    <row r="1" ht="12.75" customHeight="1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</row>
    <row r="2" ht="12.75" customHeight="1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</row>
    <row r="3" ht="12.75" customHeight="1">
      <c r="A3" s="154"/>
      <c r="B3" s="154"/>
      <c r="C3" s="543">
        <v>2020.0</v>
      </c>
      <c r="D3" s="543">
        <v>2021.0</v>
      </c>
      <c r="E3" s="543">
        <v>2022.0</v>
      </c>
      <c r="F3" s="543">
        <v>2023.0</v>
      </c>
      <c r="G3" s="543">
        <v>2024.0</v>
      </c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</row>
    <row r="4" ht="12.75" customHeight="1">
      <c r="A4" s="155"/>
      <c r="B4" s="544" t="s">
        <v>181</v>
      </c>
      <c r="C4" s="154">
        <v>234.7</v>
      </c>
      <c r="D4" s="154">
        <v>454.8</v>
      </c>
      <c r="E4" s="154">
        <v>551.9</v>
      </c>
      <c r="F4" s="154">
        <v>427.2</v>
      </c>
      <c r="G4" s="154">
        <v>479.3</v>
      </c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</row>
    <row r="5" ht="12.75" customHeight="1">
      <c r="A5" s="154"/>
      <c r="B5" s="154" t="s">
        <v>192</v>
      </c>
      <c r="C5" s="154">
        <v>59.1</v>
      </c>
      <c r="D5" s="154">
        <v>104.4</v>
      </c>
      <c r="E5" s="154">
        <v>98.9</v>
      </c>
      <c r="F5" s="154">
        <v>113.9</v>
      </c>
      <c r="G5" s="154">
        <v>105.0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</row>
    <row r="6" ht="12.75" customHeight="1">
      <c r="A6" s="154"/>
      <c r="B6" s="154" t="s">
        <v>196</v>
      </c>
      <c r="C6" s="154">
        <v>12.1</v>
      </c>
      <c r="D6" s="154">
        <v>26.6</v>
      </c>
      <c r="E6" s="154">
        <v>26.7</v>
      </c>
      <c r="F6" s="154">
        <v>29.1</v>
      </c>
      <c r="G6" s="154">
        <v>30.6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</row>
    <row r="7" ht="19.5" customHeight="1">
      <c r="A7" s="154"/>
      <c r="B7" s="154" t="s">
        <v>198</v>
      </c>
      <c r="C7" s="154">
        <v>212.2</v>
      </c>
      <c r="D7" s="154">
        <v>312.4</v>
      </c>
      <c r="E7" s="154">
        <v>257.7</v>
      </c>
      <c r="F7" s="154">
        <v>290.1</v>
      </c>
      <c r="G7" s="154">
        <v>324.1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</row>
    <row r="8" ht="12.75" customHeight="1">
      <c r="A8" s="154"/>
      <c r="B8" s="154" t="s">
        <v>532</v>
      </c>
      <c r="C8" s="154">
        <v>13.6</v>
      </c>
      <c r="D8" s="154">
        <v>36.4</v>
      </c>
      <c r="E8" s="154">
        <v>34.7</v>
      </c>
      <c r="F8" s="154">
        <v>30.1</v>
      </c>
      <c r="G8" s="154">
        <v>24.6</v>
      </c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</row>
    <row r="9" ht="12.75" customHeight="1">
      <c r="A9" s="154"/>
      <c r="B9" s="154" t="s">
        <v>533</v>
      </c>
      <c r="C9" s="154">
        <v>0.0</v>
      </c>
      <c r="D9" s="154">
        <v>0.0</v>
      </c>
      <c r="E9" s="154">
        <v>0.0</v>
      </c>
      <c r="F9" s="154">
        <v>0.0</v>
      </c>
      <c r="G9" s="154">
        <v>1.5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</row>
    <row r="10" ht="12.75" customHeight="1">
      <c r="A10" s="154"/>
      <c r="B10" s="196" t="s">
        <v>534</v>
      </c>
      <c r="C10" s="196">
        <f t="shared" ref="C10:G10" si="1">+SUM(C4:C9)</f>
        <v>531.7</v>
      </c>
      <c r="D10" s="196">
        <f t="shared" si="1"/>
        <v>934.6</v>
      </c>
      <c r="E10" s="196">
        <f t="shared" si="1"/>
        <v>969.9</v>
      </c>
      <c r="F10" s="196">
        <f t="shared" si="1"/>
        <v>890.4</v>
      </c>
      <c r="G10" s="196">
        <f t="shared" si="1"/>
        <v>965.1</v>
      </c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</row>
    <row r="11" ht="12.75" customHeight="1">
      <c r="A11" s="154"/>
      <c r="B11" s="154" t="s">
        <v>348</v>
      </c>
      <c r="C11" s="154">
        <v>3.7</v>
      </c>
      <c r="D11" s="154">
        <v>2.6</v>
      </c>
      <c r="E11" s="154">
        <v>-17.8</v>
      </c>
      <c r="F11" s="154">
        <v>-7.4</v>
      </c>
      <c r="G11" s="154">
        <v>-4.5</v>
      </c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</row>
    <row r="12" ht="12.75" customHeight="1">
      <c r="A12" s="154"/>
      <c r="B12" s="196" t="s">
        <v>535</v>
      </c>
      <c r="C12" s="196">
        <f t="shared" ref="C12:G12" si="2">+SUM(C10+C11)</f>
        <v>535.4</v>
      </c>
      <c r="D12" s="196">
        <f t="shared" si="2"/>
        <v>937.2</v>
      </c>
      <c r="E12" s="196">
        <f t="shared" si="2"/>
        <v>952.1</v>
      </c>
      <c r="F12" s="196">
        <f t="shared" si="2"/>
        <v>883</v>
      </c>
      <c r="G12" s="196">
        <f t="shared" si="2"/>
        <v>960.6</v>
      </c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</row>
    <row r="13" ht="12.75" customHeight="1">
      <c r="A13" s="154"/>
      <c r="B13" s="154" t="s">
        <v>536</v>
      </c>
      <c r="C13" s="224">
        <v>-0.28</v>
      </c>
      <c r="D13" s="225">
        <f t="shared" ref="D13:G13" si="3">+(D12-C12)/C12</f>
        <v>0.7504669406</v>
      </c>
      <c r="E13" s="225">
        <f t="shared" si="3"/>
        <v>0.01589842083</v>
      </c>
      <c r="F13" s="225">
        <f t="shared" si="3"/>
        <v>-0.07257641004</v>
      </c>
      <c r="G13" s="225">
        <f t="shared" si="3"/>
        <v>0.08788221971</v>
      </c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</row>
    <row r="14" ht="12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</row>
    <row r="15" ht="12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</row>
    <row r="16" ht="12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</row>
    <row r="17" ht="12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</row>
    <row r="18" ht="12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</row>
    <row r="19" ht="12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</row>
    <row r="20" ht="12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</row>
    <row r="21" ht="12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</row>
    <row r="22" ht="12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</row>
    <row r="23" ht="12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</row>
    <row r="24" ht="12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</row>
    <row r="25" ht="12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</row>
    <row r="26" ht="12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</row>
    <row r="27" ht="12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</row>
    <row r="28" ht="12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</row>
    <row r="29" ht="12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</row>
    <row r="30" ht="12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</row>
    <row r="31" ht="12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</row>
    <row r="32" ht="12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</row>
    <row r="33" ht="12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</row>
    <row r="34" ht="12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</row>
    <row r="35" ht="12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</row>
    <row r="36" ht="12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</row>
    <row r="37" ht="12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</row>
    <row r="38" ht="12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</row>
    <row r="39" ht="12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</row>
    <row r="40" ht="12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</row>
    <row r="41" ht="12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</row>
    <row r="42" ht="12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</row>
    <row r="43" ht="12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</row>
    <row r="44" ht="12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</row>
    <row r="45" ht="12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</row>
    <row r="46" ht="12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</row>
    <row r="47" ht="12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</row>
    <row r="48" ht="12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</row>
    <row r="49" ht="12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</row>
    <row r="50" ht="12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</row>
    <row r="51" ht="12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</row>
    <row r="52" ht="12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</row>
    <row r="53" ht="12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</row>
    <row r="54" ht="12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</row>
    <row r="55" ht="12.75" customHeight="1">
      <c r="A55" s="154"/>
      <c r="B55" s="196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</row>
    <row r="56" ht="12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</row>
    <row r="57" ht="12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</row>
    <row r="58" ht="12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</row>
    <row r="59" ht="12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</row>
    <row r="60" ht="12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</row>
    <row r="61" ht="12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</row>
    <row r="62" ht="12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</row>
    <row r="63" ht="12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</row>
    <row r="64" ht="12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</row>
    <row r="65" ht="12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</row>
    <row r="66" ht="12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</row>
    <row r="67" ht="12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</row>
    <row r="68" ht="12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</row>
    <row r="69" ht="12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</row>
    <row r="70" ht="12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</row>
    <row r="71" ht="12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</row>
    <row r="72" ht="12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</row>
    <row r="73" ht="12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</row>
    <row r="74" ht="12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</row>
    <row r="75" ht="12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</row>
    <row r="76" ht="12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</row>
    <row r="77" ht="12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</row>
    <row r="78" ht="12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</row>
    <row r="79" ht="12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</row>
    <row r="80" ht="12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</row>
    <row r="81" ht="12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</row>
    <row r="82" ht="12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</row>
    <row r="83" ht="12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</row>
    <row r="84" ht="12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</row>
    <row r="85" ht="12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</row>
    <row r="86" ht="12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</row>
    <row r="87" ht="12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</row>
    <row r="88" ht="12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</row>
    <row r="89" ht="12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</row>
    <row r="90" ht="12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</row>
    <row r="91" ht="12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</row>
    <row r="92" ht="12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</row>
    <row r="93" ht="12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</row>
    <row r="94" ht="12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</row>
    <row r="95" ht="12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</row>
    <row r="96" ht="12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</row>
    <row r="97" ht="12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</row>
    <row r="98" ht="12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</row>
    <row r="99" ht="12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</row>
    <row r="100" ht="12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</row>
    <row r="101" ht="12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</row>
    <row r="102" ht="12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</row>
    <row r="103" ht="12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</row>
    <row r="104" ht="12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</row>
    <row r="105" ht="12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</row>
    <row r="106" ht="12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</row>
    <row r="107" ht="12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</row>
    <row r="108" ht="12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</row>
    <row r="109" ht="12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</row>
    <row r="110" ht="12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</row>
    <row r="111" ht="12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</row>
    <row r="112" ht="12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</row>
    <row r="113" ht="12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</row>
    <row r="114" ht="12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</row>
    <row r="115" ht="12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</row>
    <row r="116" ht="12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</row>
    <row r="117" ht="12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</row>
    <row r="118" ht="12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</row>
    <row r="119" ht="12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</row>
    <row r="120" ht="12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</row>
    <row r="121" ht="12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</row>
    <row r="122" ht="12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</row>
    <row r="123" ht="12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</row>
    <row r="124" ht="12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</row>
    <row r="125" ht="12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</row>
    <row r="126" ht="12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</row>
    <row r="127" ht="12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</row>
    <row r="128" ht="12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</row>
    <row r="129" ht="12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</row>
    <row r="130" ht="12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</row>
    <row r="131" ht="12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</row>
    <row r="132" ht="12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</row>
    <row r="133" ht="12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</row>
    <row r="134" ht="12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</row>
    <row r="135" ht="12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</row>
    <row r="136" ht="12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</row>
    <row r="137" ht="12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</row>
    <row r="138" ht="12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</row>
    <row r="139" ht="12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</row>
    <row r="140" ht="12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</row>
    <row r="141" ht="12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</row>
    <row r="142" ht="12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</row>
    <row r="143" ht="12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</row>
    <row r="144" ht="12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</row>
    <row r="145" ht="12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</row>
    <row r="146" ht="12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</row>
    <row r="147" ht="12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</row>
    <row r="148" ht="12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</row>
    <row r="149" ht="12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</row>
    <row r="150" ht="12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</row>
    <row r="151" ht="12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</row>
    <row r="152" ht="12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</row>
    <row r="153" ht="12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</row>
    <row r="154" ht="12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</row>
    <row r="155" ht="12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</row>
    <row r="156" ht="12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</row>
    <row r="157" ht="12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</row>
    <row r="158" ht="12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</row>
    <row r="159" ht="12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</row>
    <row r="160" ht="12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</row>
    <row r="161" ht="12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</row>
    <row r="162" ht="12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</row>
    <row r="163" ht="12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</row>
    <row r="164" ht="12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</row>
    <row r="165" ht="12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</row>
    <row r="166" ht="12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</row>
    <row r="167" ht="12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</row>
    <row r="168" ht="12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</row>
    <row r="169" ht="12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</row>
    <row r="170" ht="12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</row>
    <row r="171" ht="12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</row>
    <row r="172" ht="12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</row>
    <row r="173" ht="12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</row>
    <row r="174" ht="12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</row>
    <row r="175" ht="12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</row>
    <row r="176" ht="12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</row>
    <row r="177" ht="12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</row>
    <row r="178" ht="12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</row>
    <row r="179" ht="12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</row>
    <row r="180" ht="12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</row>
    <row r="181" ht="12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</row>
    <row r="182" ht="12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</row>
    <row r="183" ht="12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</row>
    <row r="184" ht="12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</row>
    <row r="185" ht="12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</row>
    <row r="186" ht="12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</row>
    <row r="187" ht="12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</row>
    <row r="188" ht="12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</row>
    <row r="189" ht="12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</row>
    <row r="190" ht="12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</row>
    <row r="191" ht="12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</row>
    <row r="192" ht="12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</row>
    <row r="193" ht="12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</row>
    <row r="194" ht="12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</row>
    <row r="195" ht="12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</row>
    <row r="196" ht="12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</row>
    <row r="197" ht="12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</row>
    <row r="198" ht="12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</row>
    <row r="199" ht="12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</row>
    <row r="200" ht="12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</row>
    <row r="201" ht="12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</row>
    <row r="202" ht="12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</row>
    <row r="203" ht="12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</row>
    <row r="204" ht="12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</row>
    <row r="205" ht="12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</row>
    <row r="206" ht="12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</row>
    <row r="207" ht="12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</row>
    <row r="208" ht="12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</row>
    <row r="209" ht="12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</row>
    <row r="210" ht="12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</row>
    <row r="211" ht="12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</row>
    <row r="212" ht="12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</row>
    <row r="213" ht="12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</row>
    <row r="214" ht="12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</row>
    <row r="215" ht="12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</row>
    <row r="216" ht="12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</row>
    <row r="217" ht="12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</row>
    <row r="218" ht="12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</row>
    <row r="219" ht="12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</row>
    <row r="220" ht="12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</row>
    <row r="221" ht="12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</row>
    <row r="222" ht="12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</row>
    <row r="223" ht="12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</row>
    <row r="224" ht="12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</row>
    <row r="225" ht="12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</row>
    <row r="226" ht="12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</row>
    <row r="227" ht="12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</row>
    <row r="228" ht="12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</row>
    <row r="229" ht="12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</row>
    <row r="230" ht="12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</row>
    <row r="231" ht="12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</row>
    <row r="232" ht="12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</row>
    <row r="233" ht="12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</row>
    <row r="234" ht="12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</row>
    <row r="235" ht="12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</row>
    <row r="236" ht="12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</row>
    <row r="237" ht="12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</row>
    <row r="238" ht="12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</row>
    <row r="239" ht="12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</row>
    <row r="240" ht="12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</row>
    <row r="241" ht="12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</row>
    <row r="242" ht="12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</row>
    <row r="243" ht="12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</row>
    <row r="244" ht="12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</row>
    <row r="245" ht="12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</row>
    <row r="246" ht="12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</row>
    <row r="247" ht="12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</row>
    <row r="248" ht="12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</row>
    <row r="249" ht="12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</row>
    <row r="250" ht="12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</row>
    <row r="251" ht="12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</row>
    <row r="252" ht="12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</row>
    <row r="253" ht="12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</row>
    <row r="254" ht="12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</row>
    <row r="255" ht="12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</row>
    <row r="256" ht="12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</row>
    <row r="257" ht="12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</row>
    <row r="258" ht="12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</row>
    <row r="259" ht="12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</row>
    <row r="260" ht="12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</row>
    <row r="261" ht="12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</row>
    <row r="262" ht="12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</row>
    <row r="263" ht="12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</row>
    <row r="264" ht="12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</row>
    <row r="265" ht="12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</row>
    <row r="266" ht="12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</row>
    <row r="267" ht="12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</row>
    <row r="268" ht="12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</row>
    <row r="269" ht="12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</row>
    <row r="270" ht="12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</row>
    <row r="271" ht="12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</row>
    <row r="272" ht="12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</row>
    <row r="273" ht="12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</row>
    <row r="274" ht="12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</row>
    <row r="275" ht="12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</row>
    <row r="276" ht="12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</row>
    <row r="277" ht="12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</row>
    <row r="278" ht="12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</row>
    <row r="279" ht="12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</row>
    <row r="280" ht="12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</row>
    <row r="281" ht="12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</row>
    <row r="282" ht="12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</row>
    <row r="283" ht="12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</row>
    <row r="284" ht="12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</row>
    <row r="285" ht="12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</row>
    <row r="286" ht="12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</row>
    <row r="287" ht="12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</row>
    <row r="288" ht="12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</row>
    <row r="289" ht="12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</row>
    <row r="290" ht="12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</row>
    <row r="291" ht="12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</row>
    <row r="292" ht="12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</row>
    <row r="293" ht="12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</row>
    <row r="294" ht="12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</row>
    <row r="295" ht="12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</row>
    <row r="296" ht="12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</row>
    <row r="297" ht="12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</row>
    <row r="298" ht="12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</row>
    <row r="299" ht="12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</row>
    <row r="300" ht="12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</row>
    <row r="301" ht="12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</row>
    <row r="302" ht="12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</row>
    <row r="303" ht="12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</row>
    <row r="304" ht="12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</row>
    <row r="305" ht="12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</row>
    <row r="306" ht="12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</row>
    <row r="307" ht="12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</row>
    <row r="308" ht="12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</row>
    <row r="309" ht="12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</row>
    <row r="310" ht="12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</row>
    <row r="311" ht="12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</row>
    <row r="312" ht="12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</row>
    <row r="313" ht="12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</row>
    <row r="314" ht="12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</row>
    <row r="315" ht="12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</row>
    <row r="316" ht="12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</row>
    <row r="317" ht="12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</row>
    <row r="318" ht="12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</row>
    <row r="319" ht="12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</row>
    <row r="320" ht="12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</row>
    <row r="321" ht="12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</row>
    <row r="322" ht="12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</row>
    <row r="323" ht="12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</row>
    <row r="324" ht="12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</row>
    <row r="325" ht="12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</row>
    <row r="326" ht="12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</row>
    <row r="327" ht="12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</row>
    <row r="328" ht="12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</row>
    <row r="329" ht="12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</row>
    <row r="330" ht="12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</row>
    <row r="331" ht="12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</row>
    <row r="332" ht="12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</row>
    <row r="333" ht="12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</row>
    <row r="334" ht="12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</row>
    <row r="335" ht="12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</row>
    <row r="336" ht="12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</row>
    <row r="337" ht="12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</row>
    <row r="338" ht="12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</row>
    <row r="339" ht="12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</row>
    <row r="340" ht="12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</row>
    <row r="341" ht="12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</row>
    <row r="342" ht="12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</row>
    <row r="343" ht="12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</row>
    <row r="344" ht="12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</row>
    <row r="345" ht="12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</row>
    <row r="346" ht="12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</row>
    <row r="347" ht="12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</row>
    <row r="348" ht="12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</row>
    <row r="349" ht="12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</row>
    <row r="350" ht="12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</row>
    <row r="351" ht="12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</row>
    <row r="352" ht="12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</row>
    <row r="353" ht="12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</row>
    <row r="354" ht="12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</row>
    <row r="355" ht="12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</row>
    <row r="356" ht="12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</row>
    <row r="357" ht="12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</row>
    <row r="358" ht="12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</row>
    <row r="359" ht="12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</row>
    <row r="360" ht="12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</row>
    <row r="361" ht="12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</row>
    <row r="362" ht="12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</row>
    <row r="363" ht="12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</row>
    <row r="364" ht="12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</row>
    <row r="365" ht="12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</row>
    <row r="366" ht="12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</row>
    <row r="367" ht="12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</row>
    <row r="368" ht="12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</row>
    <row r="369" ht="12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</row>
    <row r="370" ht="12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</row>
    <row r="371" ht="12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</row>
    <row r="372" ht="12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</row>
    <row r="373" ht="12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</row>
    <row r="374" ht="12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</row>
    <row r="375" ht="12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</row>
    <row r="376" ht="12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</row>
    <row r="377" ht="12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</row>
    <row r="378" ht="12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</row>
    <row r="379" ht="12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</row>
    <row r="380" ht="12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</row>
    <row r="381" ht="12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</row>
    <row r="382" ht="12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</row>
    <row r="383" ht="12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</row>
    <row r="384" ht="12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</row>
    <row r="385" ht="12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</row>
    <row r="386" ht="12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</row>
    <row r="387" ht="12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</row>
    <row r="388" ht="12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</row>
    <row r="389" ht="12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</row>
    <row r="390" ht="12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</row>
    <row r="391" ht="12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</row>
    <row r="392" ht="12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</row>
    <row r="393" ht="12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</row>
    <row r="394" ht="12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</row>
    <row r="395" ht="12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</row>
    <row r="396" ht="12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</row>
    <row r="397" ht="12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</row>
    <row r="398" ht="12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</row>
    <row r="399" ht="12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</row>
    <row r="400" ht="12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</row>
    <row r="401" ht="12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</row>
    <row r="402" ht="12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</row>
    <row r="403" ht="12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</row>
    <row r="404" ht="12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</row>
    <row r="405" ht="12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</row>
    <row r="406" ht="12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</row>
    <row r="407" ht="12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</row>
    <row r="408" ht="12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</row>
    <row r="409" ht="12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</row>
    <row r="410" ht="12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</row>
    <row r="411" ht="12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</row>
    <row r="412" ht="12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</row>
    <row r="413" ht="12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</row>
    <row r="414" ht="12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</row>
    <row r="415" ht="12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</row>
    <row r="416" ht="12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</row>
    <row r="417" ht="12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</row>
    <row r="418" ht="12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</row>
    <row r="419" ht="12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</row>
    <row r="420" ht="12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</row>
    <row r="421" ht="12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</row>
    <row r="422" ht="12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</row>
    <row r="423" ht="12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</row>
    <row r="424" ht="12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</row>
    <row r="425" ht="12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</row>
    <row r="426" ht="12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</row>
    <row r="427" ht="12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</row>
    <row r="428" ht="12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</row>
    <row r="429" ht="12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</row>
    <row r="430" ht="12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</row>
    <row r="431" ht="12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</row>
    <row r="432" ht="12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</row>
    <row r="433" ht="12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</row>
    <row r="434" ht="12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</row>
    <row r="435" ht="12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</row>
    <row r="436" ht="12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</row>
    <row r="437" ht="12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</row>
    <row r="438" ht="12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</row>
    <row r="439" ht="12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</row>
    <row r="440" ht="12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</row>
    <row r="441" ht="12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</row>
    <row r="442" ht="12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</row>
    <row r="443" ht="12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</row>
    <row r="444" ht="12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</row>
    <row r="445" ht="12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</row>
    <row r="446" ht="12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</row>
    <row r="447" ht="12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</row>
    <row r="448" ht="12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</row>
    <row r="449" ht="12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</row>
    <row r="450" ht="12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</row>
    <row r="451" ht="12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</row>
    <row r="452" ht="12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</row>
    <row r="453" ht="12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</row>
    <row r="454" ht="12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</row>
    <row r="455" ht="12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</row>
    <row r="456" ht="12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</row>
    <row r="457" ht="12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</row>
    <row r="458" ht="12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</row>
    <row r="459" ht="12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</row>
    <row r="460" ht="12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</row>
    <row r="461" ht="12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</row>
    <row r="462" ht="12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</row>
    <row r="463" ht="12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</row>
    <row r="464" ht="12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</row>
    <row r="465" ht="12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</row>
    <row r="466" ht="12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</row>
    <row r="467" ht="12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</row>
    <row r="468" ht="12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</row>
    <row r="469" ht="12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</row>
    <row r="470" ht="12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</row>
    <row r="471" ht="12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</row>
    <row r="472" ht="12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</row>
    <row r="473" ht="12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</row>
    <row r="474" ht="12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</row>
    <row r="475" ht="12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</row>
    <row r="476" ht="12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</row>
    <row r="477" ht="12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</row>
    <row r="478" ht="12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</row>
    <row r="479" ht="12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</row>
    <row r="480" ht="12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</row>
    <row r="481" ht="12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</row>
    <row r="482" ht="12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</row>
    <row r="483" ht="12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</row>
    <row r="484" ht="12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</row>
    <row r="485" ht="12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</row>
    <row r="486" ht="12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</row>
    <row r="487" ht="12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</row>
    <row r="488" ht="12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</row>
    <row r="489" ht="12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</row>
    <row r="490" ht="12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</row>
    <row r="491" ht="12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</row>
    <row r="492" ht="12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</row>
    <row r="493" ht="12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</row>
    <row r="494" ht="12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</row>
    <row r="495" ht="12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</row>
    <row r="496" ht="12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</row>
    <row r="497" ht="12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</row>
    <row r="498" ht="12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</row>
    <row r="499" ht="12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</row>
    <row r="500" ht="12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</row>
    <row r="501" ht="12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</row>
    <row r="502" ht="12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</row>
    <row r="503" ht="12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</row>
    <row r="504" ht="12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</row>
    <row r="505" ht="12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</row>
    <row r="506" ht="12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</row>
    <row r="507" ht="12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</row>
    <row r="508" ht="12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</row>
    <row r="509" ht="12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</row>
    <row r="510" ht="12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</row>
    <row r="511" ht="12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</row>
    <row r="512" ht="12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</row>
    <row r="513" ht="12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</row>
    <row r="514" ht="12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</row>
    <row r="515" ht="12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</row>
    <row r="516" ht="12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</row>
    <row r="517" ht="12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</row>
    <row r="518" ht="12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</row>
    <row r="519" ht="12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</row>
    <row r="520" ht="12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</row>
    <row r="521" ht="12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</row>
    <row r="522" ht="12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</row>
    <row r="523" ht="12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</row>
    <row r="524" ht="12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</row>
    <row r="525" ht="12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</row>
    <row r="526" ht="12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</row>
    <row r="527" ht="12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</row>
    <row r="528" ht="12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</row>
    <row r="529" ht="12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</row>
    <row r="530" ht="12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</row>
    <row r="531" ht="12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</row>
    <row r="532" ht="12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</row>
    <row r="533" ht="12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</row>
    <row r="534" ht="12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</row>
    <row r="535" ht="12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</row>
    <row r="536" ht="12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</row>
    <row r="537" ht="12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</row>
    <row r="538" ht="12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</row>
    <row r="539" ht="12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</row>
    <row r="540" ht="12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</row>
    <row r="541" ht="12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</row>
    <row r="542" ht="12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</row>
    <row r="543" ht="12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</row>
    <row r="544" ht="12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</row>
    <row r="545" ht="12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</row>
    <row r="546" ht="12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</row>
    <row r="547" ht="12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</row>
    <row r="548" ht="12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</row>
    <row r="549" ht="12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</row>
    <row r="550" ht="12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</row>
    <row r="551" ht="12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</row>
    <row r="552" ht="12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</row>
    <row r="553" ht="12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</row>
    <row r="554" ht="12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</row>
    <row r="555" ht="12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</row>
    <row r="556" ht="12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</row>
    <row r="557" ht="12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</row>
    <row r="558" ht="12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</row>
    <row r="559" ht="12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</row>
    <row r="560" ht="12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</row>
    <row r="561" ht="12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</row>
    <row r="562" ht="12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</row>
    <row r="563" ht="12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</row>
    <row r="564" ht="12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</row>
    <row r="565" ht="12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</row>
    <row r="566" ht="12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</row>
    <row r="567" ht="12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</row>
    <row r="568" ht="12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</row>
    <row r="569" ht="12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</row>
    <row r="570" ht="12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</row>
    <row r="571" ht="12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</row>
    <row r="572" ht="12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</row>
    <row r="573" ht="12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</row>
    <row r="574" ht="12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</row>
    <row r="575" ht="12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</row>
    <row r="576" ht="12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</row>
    <row r="577" ht="12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</row>
    <row r="578" ht="12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</row>
    <row r="579" ht="12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</row>
    <row r="580" ht="12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</row>
    <row r="581" ht="12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</row>
    <row r="582" ht="12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</row>
    <row r="583" ht="12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</row>
    <row r="584" ht="12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</row>
    <row r="585" ht="12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</row>
    <row r="586" ht="12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</row>
    <row r="587" ht="12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</row>
    <row r="588" ht="12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</row>
    <row r="589" ht="12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</row>
    <row r="590" ht="12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</row>
    <row r="591" ht="12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</row>
    <row r="592" ht="12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</row>
    <row r="593" ht="12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</row>
    <row r="594" ht="12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</row>
    <row r="595" ht="12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</row>
    <row r="596" ht="12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</row>
    <row r="597" ht="12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</row>
    <row r="598" ht="12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</row>
    <row r="599" ht="12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</row>
    <row r="600" ht="12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</row>
    <row r="601" ht="12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</row>
    <row r="602" ht="12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</row>
    <row r="603" ht="12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</row>
    <row r="604" ht="12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</row>
    <row r="605" ht="12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</row>
    <row r="606" ht="12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</row>
    <row r="607" ht="12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</row>
    <row r="608" ht="12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</row>
    <row r="609" ht="12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</row>
    <row r="610" ht="12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</row>
    <row r="611" ht="12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</row>
    <row r="612" ht="12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</row>
    <row r="613" ht="12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</row>
    <row r="614" ht="12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</row>
    <row r="615" ht="12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</row>
    <row r="616" ht="12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</row>
    <row r="617" ht="12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</row>
    <row r="618" ht="12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</row>
    <row r="619" ht="12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</row>
    <row r="620" ht="12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</row>
    <row r="621" ht="12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</row>
    <row r="622" ht="12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</row>
    <row r="623" ht="12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</row>
    <row r="624" ht="12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</row>
    <row r="625" ht="12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</row>
    <row r="626" ht="12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</row>
    <row r="627" ht="12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</row>
    <row r="628" ht="12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</row>
    <row r="629" ht="12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</row>
    <row r="630" ht="12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</row>
    <row r="631" ht="12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</row>
    <row r="632" ht="12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</row>
    <row r="633" ht="12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</row>
    <row r="634" ht="12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</row>
    <row r="635" ht="12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</row>
    <row r="636" ht="12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</row>
    <row r="637" ht="12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</row>
    <row r="638" ht="12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</row>
    <row r="639" ht="12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</row>
    <row r="640" ht="12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</row>
    <row r="641" ht="12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</row>
    <row r="642" ht="12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</row>
    <row r="643" ht="12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</row>
    <row r="644" ht="12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</row>
    <row r="645" ht="12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</row>
    <row r="646" ht="12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</row>
    <row r="647" ht="12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</row>
    <row r="648" ht="12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</row>
    <row r="649" ht="12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</row>
    <row r="650" ht="12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</row>
    <row r="651" ht="12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</row>
    <row r="652" ht="12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</row>
    <row r="653" ht="12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</row>
    <row r="654" ht="12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</row>
    <row r="655" ht="12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</row>
    <row r="656" ht="12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</row>
    <row r="657" ht="12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</row>
    <row r="658" ht="12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</row>
    <row r="659" ht="12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</row>
    <row r="660" ht="12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</row>
    <row r="661" ht="12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</row>
    <row r="662" ht="12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</row>
    <row r="663" ht="12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</row>
    <row r="664" ht="12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</row>
    <row r="665" ht="12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</row>
    <row r="666" ht="12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</row>
    <row r="667" ht="12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</row>
    <row r="668" ht="12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</row>
    <row r="669" ht="12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</row>
    <row r="670" ht="12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</row>
    <row r="671" ht="12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</row>
    <row r="672" ht="12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</row>
    <row r="673" ht="12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</row>
    <row r="674" ht="12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</row>
    <row r="675" ht="12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</row>
    <row r="676" ht="12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</row>
    <row r="677" ht="12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</row>
    <row r="678" ht="12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</row>
    <row r="679" ht="12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</row>
    <row r="680" ht="12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</row>
    <row r="681" ht="12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</row>
    <row r="682" ht="12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</row>
    <row r="683" ht="12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</row>
    <row r="684" ht="12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</row>
    <row r="685" ht="12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</row>
    <row r="686" ht="12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</row>
    <row r="687" ht="12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</row>
    <row r="688" ht="12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</row>
    <row r="689" ht="12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</row>
    <row r="690" ht="12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</row>
    <row r="691" ht="12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</row>
    <row r="692" ht="12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</row>
    <row r="693" ht="12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</row>
    <row r="694" ht="12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</row>
    <row r="695" ht="12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</row>
    <row r="696" ht="12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</row>
    <row r="697" ht="12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</row>
    <row r="698" ht="12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</row>
    <row r="699" ht="12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</row>
    <row r="700" ht="12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</row>
    <row r="701" ht="12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</row>
    <row r="702" ht="12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</row>
    <row r="703" ht="12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</row>
    <row r="704" ht="12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</row>
    <row r="705" ht="12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</row>
    <row r="706" ht="12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</row>
    <row r="707" ht="12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</row>
    <row r="708" ht="12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</row>
    <row r="709" ht="12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</row>
    <row r="710" ht="12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</row>
    <row r="711" ht="12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</row>
    <row r="712" ht="12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</row>
    <row r="713" ht="12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</row>
    <row r="714" ht="12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</row>
    <row r="715" ht="12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</row>
    <row r="716" ht="12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</row>
    <row r="717" ht="12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</row>
    <row r="718" ht="12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</row>
    <row r="719" ht="12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</row>
    <row r="720" ht="12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</row>
    <row r="721" ht="12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</row>
    <row r="722" ht="12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</row>
    <row r="723" ht="12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</row>
    <row r="724" ht="12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</row>
    <row r="725" ht="12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</row>
    <row r="726" ht="12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</row>
    <row r="727" ht="12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</row>
    <row r="728" ht="12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</row>
    <row r="729" ht="12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</row>
    <row r="730" ht="12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</row>
    <row r="731" ht="12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</row>
    <row r="732" ht="12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</row>
    <row r="733" ht="12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</row>
    <row r="734" ht="12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</row>
    <row r="735" ht="12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</row>
    <row r="736" ht="12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</row>
    <row r="737" ht="12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</row>
    <row r="738" ht="12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</row>
    <row r="739" ht="12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</row>
    <row r="740" ht="12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</row>
    <row r="741" ht="12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</row>
    <row r="742" ht="12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</row>
    <row r="743" ht="12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</row>
    <row r="744" ht="12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</row>
    <row r="745" ht="12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</row>
    <row r="746" ht="12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</row>
    <row r="747" ht="12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</row>
    <row r="748" ht="12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</row>
    <row r="749" ht="12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</row>
    <row r="750" ht="12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</row>
    <row r="751" ht="12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</row>
    <row r="752" ht="12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</row>
    <row r="753" ht="12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</row>
    <row r="754" ht="12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</row>
    <row r="755" ht="12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</row>
    <row r="756" ht="12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</row>
    <row r="757" ht="12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</row>
    <row r="758" ht="12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</row>
    <row r="759" ht="12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</row>
    <row r="760" ht="12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</row>
    <row r="761" ht="12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</row>
    <row r="762" ht="12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</row>
    <row r="763" ht="12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</row>
    <row r="764" ht="12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</row>
    <row r="765" ht="12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</row>
    <row r="766" ht="12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</row>
    <row r="767" ht="12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</row>
    <row r="768" ht="12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</row>
    <row r="769" ht="12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</row>
    <row r="770" ht="12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</row>
    <row r="771" ht="12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</row>
    <row r="772" ht="12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</row>
    <row r="773" ht="12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</row>
    <row r="774" ht="12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</row>
    <row r="775" ht="12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</row>
    <row r="776" ht="12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</row>
    <row r="777" ht="12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</row>
    <row r="778" ht="12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</row>
    <row r="779" ht="12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</row>
    <row r="780" ht="12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</row>
    <row r="781" ht="12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</row>
    <row r="782" ht="12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</row>
    <row r="783" ht="12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</row>
    <row r="784" ht="12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</row>
    <row r="785" ht="12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</row>
    <row r="786" ht="12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</row>
    <row r="787" ht="12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</row>
    <row r="788" ht="12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</row>
    <row r="789" ht="12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</row>
    <row r="790" ht="12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</row>
    <row r="791" ht="12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</row>
    <row r="792" ht="12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</row>
    <row r="793" ht="12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</row>
    <row r="794" ht="12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</row>
    <row r="795" ht="12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</row>
    <row r="796" ht="12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</row>
    <row r="797" ht="12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</row>
    <row r="798" ht="12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</row>
    <row r="799" ht="12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</row>
    <row r="800" ht="12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</row>
    <row r="801" ht="12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</row>
    <row r="802" ht="12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</row>
    <row r="803" ht="12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</row>
    <row r="804" ht="12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</row>
    <row r="805" ht="12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</row>
    <row r="806" ht="12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</row>
    <row r="807" ht="12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</row>
    <row r="808" ht="12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</row>
    <row r="809" ht="12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</row>
    <row r="810" ht="12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</row>
    <row r="811" ht="12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</row>
    <row r="812" ht="12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</row>
    <row r="813" ht="12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</row>
    <row r="814" ht="12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</row>
    <row r="815" ht="12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</row>
    <row r="816" ht="12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</row>
    <row r="817" ht="12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</row>
    <row r="818" ht="12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</row>
    <row r="819" ht="12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</row>
    <row r="820" ht="12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</row>
    <row r="821" ht="12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</row>
    <row r="822" ht="12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</row>
    <row r="823" ht="12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</row>
    <row r="824" ht="12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</row>
    <row r="825" ht="12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</row>
    <row r="826" ht="12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</row>
    <row r="827" ht="12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</row>
    <row r="828" ht="12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</row>
    <row r="829" ht="12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</row>
    <row r="830" ht="12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</row>
    <row r="831" ht="12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</row>
    <row r="832" ht="12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</row>
    <row r="833" ht="12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</row>
    <row r="834" ht="12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</row>
    <row r="835" ht="12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</row>
    <row r="836" ht="12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</row>
    <row r="837" ht="12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</row>
    <row r="838" ht="12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</row>
    <row r="839" ht="12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</row>
    <row r="840" ht="12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</row>
    <row r="841" ht="12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</row>
    <row r="842" ht="12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</row>
    <row r="843" ht="12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</row>
    <row r="844" ht="12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</row>
    <row r="845" ht="12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</row>
    <row r="846" ht="12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</row>
    <row r="847" ht="12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</row>
    <row r="848" ht="12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</row>
    <row r="849" ht="12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</row>
    <row r="850" ht="12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</row>
    <row r="851" ht="12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</row>
    <row r="852" ht="12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</row>
    <row r="853" ht="12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</row>
    <row r="854" ht="12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</row>
    <row r="855" ht="12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</row>
    <row r="856" ht="12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</row>
    <row r="857" ht="12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</row>
    <row r="858" ht="12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</row>
    <row r="859" ht="12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</row>
    <row r="860" ht="12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</row>
    <row r="861" ht="12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</row>
    <row r="862" ht="12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</row>
    <row r="863" ht="12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</row>
    <row r="864" ht="12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</row>
    <row r="865" ht="12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</row>
    <row r="866" ht="12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</row>
    <row r="867" ht="12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</row>
    <row r="868" ht="12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</row>
    <row r="869" ht="12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</row>
    <row r="870" ht="12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</row>
    <row r="871" ht="12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</row>
    <row r="872" ht="12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</row>
    <row r="873" ht="12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</row>
    <row r="874" ht="12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</row>
    <row r="875" ht="12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</row>
    <row r="876" ht="12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</row>
    <row r="877" ht="12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</row>
    <row r="878" ht="12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</row>
    <row r="879" ht="12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</row>
    <row r="880" ht="12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</row>
    <row r="881" ht="12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</row>
    <row r="882" ht="12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</row>
    <row r="883" ht="12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</row>
    <row r="884" ht="12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</row>
    <row r="885" ht="12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</row>
    <row r="886" ht="12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</row>
    <row r="887" ht="12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</row>
    <row r="888" ht="12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</row>
    <row r="889" ht="12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</row>
    <row r="890" ht="12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</row>
    <row r="891" ht="12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</row>
    <row r="892" ht="12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</row>
    <row r="893" ht="12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</row>
    <row r="894" ht="12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</row>
    <row r="895" ht="12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</row>
    <row r="896" ht="12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</row>
    <row r="897" ht="12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</row>
    <row r="898" ht="12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</row>
    <row r="899" ht="12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</row>
    <row r="900" ht="12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</row>
    <row r="901" ht="12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</row>
    <row r="902" ht="12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</row>
    <row r="903" ht="12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</row>
    <row r="904" ht="12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</row>
    <row r="905" ht="12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</row>
    <row r="906" ht="12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</row>
    <row r="907" ht="12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</row>
    <row r="908" ht="12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</row>
    <row r="909" ht="12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</row>
    <row r="910" ht="12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</row>
    <row r="911" ht="12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</row>
    <row r="912" ht="12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</row>
    <row r="913" ht="12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</row>
    <row r="914" ht="12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</row>
    <row r="915" ht="12.75" customHeight="1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</row>
    <row r="916" ht="12.75" customHeight="1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</row>
    <row r="917" ht="12.75" customHeight="1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</row>
    <row r="918" ht="12.75" customHeight="1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</row>
    <row r="919" ht="12.75" customHeight="1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</row>
    <row r="920" ht="12.75" customHeight="1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</row>
    <row r="921" ht="12.75" customHeight="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</row>
    <row r="922" ht="12.75" customHeight="1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</row>
    <row r="923" ht="12.75" customHeight="1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</row>
    <row r="924" ht="12.75" customHeight="1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</row>
    <row r="925" ht="12.75" customHeight="1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</row>
    <row r="926" ht="12.75" customHeight="1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</row>
    <row r="927" ht="12.75" customHeight="1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</row>
    <row r="928" ht="12.75" customHeight="1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</row>
    <row r="929" ht="12.75" customHeight="1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</row>
    <row r="930" ht="12.75" customHeight="1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</row>
    <row r="931" ht="12.75" customHeight="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</row>
    <row r="932" ht="12.75" customHeight="1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</row>
    <row r="933" ht="12.75" customHeight="1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</row>
    <row r="934" ht="12.75" customHeight="1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</row>
    <row r="935" ht="12.75" customHeight="1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</row>
    <row r="936" ht="12.75" customHeight="1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</row>
    <row r="937" ht="12.75" customHeight="1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</row>
    <row r="938" ht="12.75" customHeight="1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</row>
    <row r="939" ht="12.75" customHeight="1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</row>
    <row r="940" ht="12.75" customHeight="1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</row>
    <row r="941" ht="12.75" customHeight="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</row>
    <row r="942" ht="12.75" customHeight="1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</row>
    <row r="943" ht="12.75" customHeight="1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</row>
    <row r="944" ht="12.75" customHeight="1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</row>
    <row r="945" ht="12.75" customHeight="1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</row>
    <row r="946" ht="12.75" customHeight="1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</row>
    <row r="947" ht="12.75" customHeight="1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</row>
    <row r="948" ht="12.75" customHeight="1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</row>
    <row r="949" ht="12.75" customHeight="1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</row>
    <row r="950" ht="12.75" customHeight="1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</row>
    <row r="951" ht="12.75" customHeight="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</row>
    <row r="952" ht="12.75" customHeight="1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</row>
    <row r="953" ht="12.75" customHeight="1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</row>
    <row r="954" ht="12.75" customHeight="1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</row>
    <row r="955" ht="12.75" customHeight="1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</row>
    <row r="956" ht="12.75" customHeight="1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</row>
    <row r="957" ht="12.75" customHeight="1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</row>
    <row r="958" ht="12.75" customHeight="1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</row>
    <row r="959" ht="12.75" customHeight="1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</row>
    <row r="960" ht="12.75" customHeight="1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</row>
    <row r="961" ht="12.75" customHeight="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</row>
    <row r="962" ht="12.75" customHeight="1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</row>
    <row r="963" ht="12.75" customHeight="1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</row>
    <row r="964" ht="12.75" customHeight="1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</row>
    <row r="965" ht="12.75" customHeight="1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</row>
    <row r="966" ht="12.75" customHeight="1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</row>
    <row r="967" ht="12.75" customHeight="1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</row>
    <row r="968" ht="12.75" customHeight="1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</row>
    <row r="969" ht="12.75" customHeight="1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</row>
    <row r="970" ht="12.75" customHeight="1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</row>
    <row r="971" ht="12.75" customHeight="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</row>
    <row r="972" ht="12.75" customHeight="1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</row>
    <row r="973" ht="12.75" customHeight="1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</row>
    <row r="974" ht="12.75" customHeight="1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</row>
    <row r="975" ht="12.75" customHeight="1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</row>
    <row r="976" ht="12.75" customHeight="1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</row>
    <row r="977" ht="12.75" customHeight="1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</row>
    <row r="978" ht="12.75" customHeight="1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</row>
    <row r="979" ht="12.75" customHeight="1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</row>
    <row r="980" ht="12.75" customHeight="1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</row>
    <row r="981" ht="12.75" customHeight="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</row>
    <row r="982" ht="12.75" customHeight="1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</row>
    <row r="983" ht="12.75" customHeight="1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</row>
    <row r="984" ht="12.75" customHeight="1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</row>
    <row r="985" ht="12.75" customHeight="1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</row>
    <row r="986" ht="12.75" customHeight="1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</row>
    <row r="987" ht="12.75" customHeight="1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</row>
    <row r="988" ht="12.75" customHeight="1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</row>
    <row r="989" ht="12.75" customHeight="1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</row>
    <row r="990" ht="12.75" customHeight="1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</row>
    <row r="991" ht="12.75" customHeight="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</row>
    <row r="992" ht="12.75" customHeight="1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</row>
    <row r="993" ht="12.75" customHeight="1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</row>
    <row r="994" ht="12.75" customHeight="1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</row>
    <row r="995" ht="12.75" customHeight="1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</row>
    <row r="996" ht="12.75" customHeight="1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</row>
    <row r="997" ht="12.75" customHeight="1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</row>
    <row r="998" ht="12.75" customHeight="1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</row>
    <row r="999" ht="12.75" customHeight="1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</row>
    <row r="1000" ht="12.75" customHeight="1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2025-09-01T03:30:28Z</dcterms:created>
  <dc:creator>User</dc:creator>
</cp:coreProperties>
</file>